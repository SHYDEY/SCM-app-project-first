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c4c8b898d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사용안내" sheetId="1" r:id="R517b8395ec3242e8"/>
    <x:sheet xmlns:r="http://schemas.openxmlformats.org/officeDocument/2006/relationships" name="02_발주대시보드" sheetId="2" r:id="Rd00061b23c92446c"/>
    <x:sheet xmlns:r="http://schemas.openxmlformats.org/officeDocument/2006/relationships" name="03_수요입력" sheetId="3" r:id="R4a0315fddbb94718"/>
    <x:sheet xmlns:r="http://schemas.openxmlformats.org/officeDocument/2006/relationships" name="04_재고_OpenPO" sheetId="4" r:id="R8d9e6ca3dd6b4a75"/>
    <x:sheet xmlns:r="http://schemas.openxmlformats.org/officeDocument/2006/relationships" name="07_기준정보" sheetId="5" r:id="R600359144bcc4343"/>
    <x:sheet xmlns:r="http://schemas.openxmlformats.org/officeDocument/2006/relationships" name="05_기기발주계산" sheetId="6" r:id="Rb185eabd64784aed"/>
    <x:sheet xmlns:r="http://schemas.openxmlformats.org/officeDocument/2006/relationships" name="06_옵션발주계산" sheetId="7" r:id="Rb3c87e3928e54fca"/>
    <x:sheet xmlns:r="http://schemas.openxmlformats.org/officeDocument/2006/relationships" name="08_예외_승인" sheetId="8" r:id="R0be5a0d64b6546bd"/>
    <x:sheet xmlns:r="http://schemas.openxmlformats.org/officeDocument/2006/relationships" name="09_보고자료" sheetId="9" r:id="Rb276541e3e554a60"/>
    <x:sheet xmlns:r="http://schemas.openxmlformats.org/officeDocument/2006/relationships" name="10_PoC_데이터요구" sheetId="10" r:id="Rbf473bbb032841a7"/>
    <x:sheet xmlns:r="http://schemas.openxmlformats.org/officeDocument/2006/relationships" name="11_용어" sheetId="11" r:id="R32ce37f9c352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"/>
    <x:numFmt numFmtId="201" formatCode="yyyy-mm-dd"/>
    <x:numFmt numFmtId="202" formatCode="#,##0"/>
    <x:numFmt numFmtId="203" formatCode="0.0%"/>
    <x:numFmt numFmtId="204" formatCode="#,##0.0"/>
  </x:numFmts>
  <x:fonts count="1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6666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9B1C1C"/>
      <x:name val="Carlito"/>
    </x:font>
    <x:font>
      <x:b/>
      <x:sz val="11"/>
      <x:color rgb="FF1F4D78"/>
      <x:name val="Carlito"/>
    </x:font>
    <x:font>
      <x:b/>
      <x:sz val="10"/>
      <x:color rgb="FF1F4D78"/>
      <x:name val="Carlito"/>
    </x:font>
    <x:font>
      <x:b/>
      <x:sz val="16"/>
      <x:color rgb="FFFFFFFF"/>
      <x:name val="Aptos"/>
    </x:font>
    <x:font>
      <x:i/>
      <x:sz val="10"/>
      <x:color rgb="FF666666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9B1C1C"/>
      <x:name val="Aptos"/>
    </x:font>
    <x:font>
      <x:b/>
      <x:sz val="11"/>
      <x:color rgb="FF1F4D78"/>
      <x:name val="Aptos"/>
    </x:font>
    <x:font>
      <x:b/>
      <x:sz val="10"/>
      <x:color rgb="FF1F4D78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2E74B5"/>
      </x:patternFill>
    </x:fill>
    <x:fill>
      <x:patternFill patternType="solid">
        <x:fgColor rgb="FFFFFFFF"/>
      </x:patternFill>
    </x:fill>
    <x:fill>
      <x:patternFill patternType="solid">
        <x:fgColor rgb="FFFCE8E6"/>
      </x:patternFill>
    </x:fill>
    <x:fill>
      <x:patternFill patternType="solid">
        <x:fgColor rgb="FFFFF4CC"/>
      </x:patternFill>
    </x:fill>
    <x:fill>
      <x:patternFill patternType="solid">
        <x:fgColor rgb="FFEAF4EA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200" fontId="0" fillId="6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0" fillId="6" borderId="1" xfId="0" applyNumberFormat="1" applyFont="1" applyFill="1" applyBorder="1"/>
    <x:xf numFmtId="201" fontId="0" fillId="6" borderId="1" xfId="0" applyNumberFormat="1" applyFont="1" applyFill="1" applyBorder="1"/>
    <x:xf numFmtId="0" fontId="4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202" fontId="4" fillId="7" borderId="1" xfId="0" applyNumberFormat="1" applyFont="1" applyFill="1" applyBorder="1" applyAlignment="1">
      <x:alignment vertical="center" wrapText="1"/>
    </x:xf>
    <x:xf numFmtId="203" fontId="4" fillId="7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vertical="center" wrapText="1"/>
    </x:xf>
    <x:xf numFmtId="202" fontId="4" fillId="6" borderId="1" xfId="0" applyNumberFormat="1" applyFont="1" applyFill="1" applyBorder="1" applyAlignment="1">
      <x:alignment vertical="center" wrapText="1"/>
    </x:xf>
    <x:xf numFmtId="203" fontId="4" fillId="6" borderId="1" xfId="0" applyNumberFormat="1" applyFont="1" applyFill="1" applyBorder="1" applyAlignment="1">
      <x:alignment vertical="center" wrapText="1"/>
    </x:xf>
    <x:xf numFmtId="204" fontId="4" fillId="6" borderId="1" xfId="0" applyNumberFormat="1" applyFont="1" applyFill="1" applyBorder="1" applyAlignment="1">
      <x:alignment vertical="center" wrapText="1"/>
    </x:xf>
    <x:xf numFmtId="204" fontId="4" fillId="7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2" fontId="4" fillId="8" borderId="1" xfId="0" applyNumberFormat="1" applyFont="1" applyFill="1" applyBorder="1" applyAlignment="1">
      <x:alignment vertical="center" wrapText="1"/>
    </x:xf>
    <x:xf numFmtId="202" fontId="7" fillId="8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1" fillId="3" borderId="1" xfId="0" applyNumberFormat="1" applyFont="1" applyFill="1" applyBorder="1" applyAlignment="1">
      <x:alignment horizontal="center" vertical="center" wrapText="1"/>
    </x:xf>
    <x:xf numFmtId="0" fontId="12" fillId="4" borderId="1" xfId="0" applyNumberFormat="1" applyFont="1" applyFill="1" applyBorder="1" applyAlignment="1">
      <x:alignment vertical="center" wrapText="1"/>
    </x:xf>
    <x:xf numFmtId="0" fontId="13" fillId="5" borderId="1" xfId="0" applyNumberFormat="1" applyFont="1" applyFill="1" applyBorder="1" applyAlignment="1">
      <x:alignment vertical="center" wrapText="1"/>
    </x:xf>
    <x:xf numFmtId="0" fontId="12" fillId="6" borderId="1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center" wrapText="1"/>
    </x:xf>
    <x:xf numFmtId="0" fontId="12" fillId="7" borderId="1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vertical="center" wrapText="1"/>
    </x:xf>
    <x:xf numFmtId="0" fontId="14" fillId="8" borderId="1" xfId="0" applyNumberFormat="1" applyFont="1" applyFill="1" applyBorder="1"/>
    <x:xf numFmtId="200" fontId="10" fillId="6" borderId="1" xfId="0" applyNumberFormat="1" applyFont="1" applyFill="1" applyBorder="1"/>
    <x:xf numFmtId="0" fontId="10" fillId="6" borderId="1" xfId="0" applyNumberFormat="1" applyFont="1" applyFill="1" applyBorder="1"/>
    <x:xf numFmtId="0" fontId="15" fillId="8" borderId="1" xfId="0" applyNumberFormat="1" applyFont="1" applyFill="1" applyBorder="1" applyAlignment="1">
      <x:alignment vertical="center" wrapText="1"/>
    </x:xf>
    <x:xf numFmtId="202" fontId="12" fillId="7" borderId="1" xfId="0" applyNumberFormat="1" applyFont="1" applyFill="1" applyBorder="1" applyAlignment="1">
      <x:alignment vertical="center" wrapText="1"/>
    </x:xf>
    <x:xf numFmtId="203" fontId="12" fillId="7" borderId="1" xfId="0" applyNumberFormat="1" applyFont="1" applyFill="1" applyBorder="1" applyAlignment="1">
      <x:alignment vertical="center" wrapText="1"/>
    </x:xf>
    <x:xf numFmtId="201" fontId="10" fillId="6" borderId="1" xfId="0" applyNumberFormat="1" applyFont="1" applyFill="1" applyBorder="1"/>
    <x:xf numFmtId="200" fontId="12" fillId="6" borderId="1" xfId="0" applyNumberFormat="1" applyFont="1" applyFill="1" applyBorder="1" applyAlignment="1">
      <x:alignment vertical="center" wrapText="1"/>
    </x:xf>
    <x:xf numFmtId="202" fontId="12" fillId="6" borderId="1" xfId="0" applyNumberFormat="1" applyFont="1" applyFill="1" applyBorder="1" applyAlignment="1">
      <x:alignment vertical="center" wrapText="1"/>
    </x:xf>
    <x:xf numFmtId="203" fontId="12" fillId="6" borderId="1" xfId="0" applyNumberFormat="1" applyFont="1" applyFill="1" applyBorder="1" applyAlignment="1">
      <x:alignment vertical="center" wrapText="1"/>
    </x:xf>
    <x:xf numFmtId="204" fontId="12" fillId="6" borderId="1" xfId="0" applyNumberFormat="1" applyFont="1" applyFill="1" applyBorder="1" applyAlignment="1">
      <x:alignment vertical="center" wrapText="1"/>
    </x:xf>
    <x:xf numFmtId="204" fontId="12" fillId="7" borderId="1" xfId="0" applyNumberFormat="1" applyFont="1" applyFill="1" applyBorder="1" applyAlignment="1">
      <x:alignment vertical="center" wrapText="1"/>
    </x:xf>
    <x:xf numFmtId="202" fontId="12" fillId="0" borderId="1" xfId="0" applyNumberFormat="1" applyFont="1" applyFill="1" applyBorder="1" applyAlignment="1">
      <x:alignment vertical="center" wrapText="1"/>
    </x:xf>
    <x:xf numFmtId="202" fontId="15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B1C1C"/>
      </x:font>
      <x:fill>
        <x:patternFill patternType="solid">
          <x:bgColor rgb="FFFCE8E6"/>
        </x:patternFill>
      </x:fill>
    </x:dxf>
    <x:dxf>
      <x:font>
        <x:b/>
        <x:color rgb="FF9B1C1C"/>
      </x:font>
      <x:fill>
        <x:patternFill patternType="solid">
          <x:bgColor rgb="FFFCE8E6"/>
        </x:patternFill>
      </x:fill>
    </x:dxf>
    <x:dxf>
      <x:font>
        <x:b/>
        <x:color rgb="FF9B1C1C"/>
      </x:font>
      <x:fill>
        <x:patternFill patternType="solid">
          <x:bgColor rgb="FFFCE8E6"/>
        </x:patternFill>
      </x:fill>
    </x:dxf>
    <x:dxf>
      <x:font>
        <x:b/>
        <x:color rgb="FF9B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1930aa9c34ca2" /><Relationship Type="http://schemas.openxmlformats.org/officeDocument/2006/relationships/theme" Target="/xl/theme/theme1.xml" Id="Rf1148f6ab0204072" /><Relationship Type="http://schemas.openxmlformats.org/officeDocument/2006/relationships/sharedStrings" Target="/xl/sharedStrings.xml" Id="Rc03d9e490c7b48fd" /><Relationship Type="http://schemas.openxmlformats.org/officeDocument/2006/relationships/worksheet" Target="/xl/worksheets/sheet1.xml" Id="R517b8395ec3242e8" /><Relationship Type="http://schemas.openxmlformats.org/officeDocument/2006/relationships/worksheet" Target="/xl/worksheets/sheet2.xml" Id="Rd00061b23c92446c" /><Relationship Type="http://schemas.openxmlformats.org/officeDocument/2006/relationships/worksheet" Target="/xl/worksheets/sheet3.xml" Id="R4a0315fddbb94718" /><Relationship Type="http://schemas.openxmlformats.org/officeDocument/2006/relationships/worksheet" Target="/xl/worksheets/sheet4.xml" Id="R8d9e6ca3dd6b4a75" /><Relationship Type="http://schemas.openxmlformats.org/officeDocument/2006/relationships/worksheet" Target="/xl/worksheets/sheet5.xml" Id="R600359144bcc4343" /><Relationship Type="http://schemas.openxmlformats.org/officeDocument/2006/relationships/worksheet" Target="/xl/worksheets/sheet6.xml" Id="Rb185eabd64784aed" /><Relationship Type="http://schemas.openxmlformats.org/officeDocument/2006/relationships/worksheet" Target="/xl/worksheets/sheet7.xml" Id="Rb3c87e3928e54fca" /><Relationship Type="http://schemas.openxmlformats.org/officeDocument/2006/relationships/worksheet" Target="/xl/worksheets/sheet8.xml" Id="R0be5a0d64b6546bd" /><Relationship Type="http://schemas.openxmlformats.org/officeDocument/2006/relationships/worksheet" Target="/xl/worksheets/sheet9.xml" Id="Rb276541e3e554a60" /><Relationship Type="http://schemas.openxmlformats.org/officeDocument/2006/relationships/worksheet" Target="/xl/worksheets/sheet10.xml" Id="Rbf473bbb032841a7" /><Relationship Type="http://schemas.openxmlformats.org/officeDocument/2006/relationships/worksheet" Target="/xl/worksheets/sheet11.xml" Id="R32ce37f9c3524c0d" /></Relationships>
</file>

<file path=xl/tables/table1.xml><?xml version="1.0" encoding="utf-8"?>
<x:table xmlns:x="http://schemas.openxmlformats.org/spreadsheetml/2006/main" id="1" name="DemandInput" displayName="DemandInput" ref="A4:Q204" headerRowCount="1" totalsRowCount="0" totalsRowShown="0">
  <x:tableColumns count="17">
    <x:tableColumn id="1" name="월도"/>
    <x:tableColumn id="2" name="수요구분"/>
    <x:tableColumn id="3" name="법인/채널"/>
    <x:tableColumn id="4" name="기종/옵션코드"/>
    <x:tableColumn id="5" name="품목명"/>
    <x:tableColumn id="6" name="필요월도"/>
    <x:tableColumn id="7" name="수량"/>
    <x:tableColumn id="8" name="확도"/>
    <x:tableColumn id="9" name="확정수량"/>
    <x:tableColumn id="10" name="변경/취소"/>
    <x:tableColumn id="11" name="Bulk-deal"/>
    <x:tableColumn id="12" name="수급회의 조정"/>
    <x:tableColumn id="13" name="최종 확정"/>
    <x:tableColumn id="14" name="출처"/>
    <x:tableColumn id="15" name="담당자"/>
    <x:tableColumn id="16" name="확정상태"/>
    <x:tableColumn id="17" name="조정사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OpenPO" displayName="InventoryOpenPO" ref="A4:P204" headerRowCount="1" totalsRowCount="0" totalsRowShown="0">
  <x:tableColumns count="16">
    <x:tableColumn id="1" name="기준월"/>
    <x:tableColumn id="2" name="품목구분"/>
    <x:tableColumn id="3" name="품목코드"/>
    <x:tableColumn id="4" name="품목명"/>
    <x:tableColumn id="5" name="Supplier"/>
    <x:tableColumn id="6" name="창고"/>
    <x:tableColumn id="7" name="기말재고"/>
    <x:tableColumn id="8" name="예약/할당"/>
    <x:tableColumn id="9" name="품질보류"/>
    <x:tableColumn id="10" name="출고예정"/>
    <x:tableColumn id="11" name="가용기말재고"/>
    <x:tableColumn id="12" name="Open PO 수량"/>
    <x:tableColumn id="13" name="확정입고수량"/>
    <x:tableColumn id="14" name="입고예정월"/>
    <x:tableColumn id="15" name="실제 가용재고"/>
    <x:tableColumn id="16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sterItems" displayName="MasterItems" ref="A4:N204" headerRowCount="1" totalsRowCount="0" totalsRowShown="0">
  <x:tableColumns count="14">
    <x:tableColumn id="1" name="품목구분"/>
    <x:tableColumn id="2" name="품목코드"/>
    <x:tableColumn id="3" name="품목명"/>
    <x:tableColumn id="4" name="제품군"/>
    <x:tableColumn id="5" name="Supplier"/>
    <x:tableColumn id="6" name="단가"/>
    <x:tableColumn id="7" name="통화"/>
    <x:tableColumn id="8" name="MOQ"/>
    <x:tableColumn id="9" name="발주단위"/>
    <x:tableColumn id="10" name="Lead Time(일)"/>
    <x:tableColumn id="11" name="Flex 하한%"/>
    <x:tableColumn id="12" name="Flex 상한%"/>
    <x:tableColumn id="13" name="단종/대체"/>
    <x:tableColumn id="14" name="유효기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chineOrderCalc" displayName="MachineOrderCalc" ref="A4:S204" headerRowCount="1" totalsRowCount="0" totalsRowShown="0">
  <x:tableColumns count="19">
    <x:tableColumn id="1" name="발주월"/>
    <x:tableColumn id="2" name="필요월도"/>
    <x:tableColumn id="3" name="기종코드"/>
    <x:tableColumn id="4" name="기종명"/>
    <x:tableColumn id="5" name="Supplier"/>
    <x:tableColumn id="6" name="확정수요"/>
    <x:tableColumn id="7" name="안전재고"/>
    <x:tableColumn id="8" name="기말재고"/>
    <x:tableColumn id="9" name="예약/보류"/>
    <x:tableColumn id="10" name="확정입고"/>
    <x:tableColumn id="11" name="가용재고"/>
    <x:tableColumn id="12" name="계산 필요량"/>
    <x:tableColumn id="13" name="MOQ"/>
    <x:tableColumn id="14" name="Flex 하한"/>
    <x:tableColumn id="15" name="Flex 상한"/>
    <x:tableColumn id="16" name="Flex 판정"/>
    <x:tableColumn id="17" name="최종 발주량"/>
    <x:tableColumn id="18" name="발주금액"/>
    <x:tableColumn id="19" name="검토상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tionOrderCalc" displayName="OptionOrderCalc" ref="A4:U204" headerRowCount="1" totalsRowCount="0" totalsRowShown="0">
  <x:tableColumns count="21">
    <x:tableColumn id="1" name="발주월"/>
    <x:tableColumn id="2" name="필요월도"/>
    <x:tableColumn id="3" name="옵션코드"/>
    <x:tableColumn id="4" name="옵션명"/>
    <x:tableColumn id="5" name="기종코드"/>
    <x:tableColumn id="6" name="기기확정수요"/>
    <x:tableColumn id="7" name="BOM수량"/>
    <x:tableColumn id="8" name="장착율"/>
    <x:tableColumn id="9" name="평균사용량"/>
    <x:tableColumn id="10" name="별도수요"/>
    <x:tableColumn id="11" name="이론수요"/>
    <x:tableColumn id="12" name="옵션가용재고"/>
    <x:tableColumn id="13" name="안전재고"/>
    <x:tableColumn id="14" name="계산 필요량"/>
    <x:tableColumn id="15" name="MOQ"/>
    <x:tableColumn id="16" name="Flex 판정"/>
    <x:tableColumn id="17" name="필수옵션"/>
    <x:tableColumn id="18" name="누락검증"/>
    <x:tableColumn id="19" name="최종 발주량"/>
    <x:tableColumn id="20" name="단가"/>
    <x:tableColumn id="21" name="발주금액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ceptionApproval" displayName="ExceptionApproval" ref="A4:J204" headerRowCount="1" totalsRowCount="0" totalsRowShown="0">
  <x:tableColumns count="10">
    <x:tableColumn id="1" name="발생월"/>
    <x:tableColumn id="2" name="단계"/>
    <x:tableColumn id="3" name="품목코드"/>
    <x:tableColumn id="4" name="예외유형"/>
    <x:tableColumn id="5" name="시스템 계산값"/>
    <x:tableColumn id="6" name="조정값"/>
    <x:tableColumn id="7" name="상태"/>
    <x:tableColumn id="8" name="조치/사유"/>
    <x:tableColumn id="9" name="담당자"/>
    <x:tableColumn id="10" name="승인자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cDataRequirements" displayName="PocDataRequirements" ref="A4:J20" headerRowCount="1" totalsRowCount="0" totalsRowShown="0">
  <x:tableColumns count="10">
    <x:tableColumn id="1" name="데이터명"/>
    <x:tableColumn id="2" name="왜 필요한가"/>
    <x:tableColumn id="3" name="보유 여부"/>
    <x:tableColumn id="4" name="위치/시스템"/>
    <x:tableColumn id="5" name="형태"/>
    <x:tableColumn id="6" name="확보 담당자"/>
    <x:tableColumn id="7" name="기한"/>
    <x:tableColumn id="8" name="마스킹"/>
    <x:tableColumn id="9" name="우선순위"/>
    <x:tableColumn id="10" name="비고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lossary" displayName="Glossary" ref="A4:F20" headerRowCount="1" totalsRowCount="0" totalsRowShown="0">
  <x:tableColumns count="6">
    <x:tableColumn id="1" name="용어"/>
    <x:tableColumn id="2" name="현재 이해"/>
    <x:tableColumn id="3" name="확정 정의"/>
    <x:tableColumn id="4" name="확인 담당자"/>
    <x:tableColumn id="5" name="확인 상태"/>
    <x:tableColumn id="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ccb890ccd2e4b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fcc90bcdeeb4b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21be84cbc9c4c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c0857d851f142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403519f936044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1550cbb53f2433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f5ea25605da24e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44afb03fa4e49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34" hidden="0" customWidth="1"/>
    <x:col min="4" max="4" width="70" hidden="0" customWidth="1"/>
  </x:cols>
  <x:sheetData>
    <x:row r="1" ht="28" customHeight="1">
      <x:c r="A1" s="52" t="str">
        <x:v>SCM 월간 기기·옵션 발주 업무용 템플릿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워크숍 결과 반영 | 노란색: 사용자가 입력 | 녹색: 자동 계산 | 빨간색: 확인 필요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순서</x:v>
      </x:c>
      <x:c r="B4" s="55" t="str">
        <x:v>사용 시트</x:v>
      </x:c>
      <x:c r="C4" s="55" t="str">
        <x:v>목적</x:v>
      </x:c>
      <x:c r="D4" s="55" t="str">
        <x:v>사용 방법</x:v>
      </x:c>
      <x:c r="E4" s="54"/>
      <x:c r="F4" s="54"/>
      <x:c r="G4" s="54"/>
      <x:c r="H4" s="54"/>
      <x:c r="I4" s="54"/>
      <x:c r="J4" s="54"/>
    </x:row>
    <x:row r="5">
      <x:c r="A5" s="56" t="n">
        <x:v>1</x:v>
      </x:c>
      <x:c r="B5" s="56" t="str">
        <x:v>03_수요입력</x:v>
      </x:c>
      <x:c r="C5" s="56" t="str">
        <x:v>OL·SFDC·Bulk-deal·Trend·수급회의 결과 입력</x:v>
      </x:c>
      <x:c r="D5" s="56" t="str">
        <x:v>월도별 수요를 입력하고 확정 여부를 선택</x:v>
      </x:c>
      <x:c r="E5" s="54"/>
      <x:c r="F5" s="54"/>
      <x:c r="G5" s="54"/>
      <x:c r="H5" s="54"/>
      <x:c r="I5" s="54"/>
      <x:c r="J5" s="54"/>
    </x:row>
    <x:row r="6">
      <x:c r="A6" s="56" t="n">
        <x:v>2</x:v>
      </x:c>
      <x:c r="B6" s="56" t="str">
        <x:v>04_재고_OpenPO</x:v>
      </x:c>
      <x:c r="C6" s="56" t="str">
        <x:v>전월말 재고 및 미입고 발주 입력</x:v>
      </x:c>
      <x:c r="D6" s="56" t="str">
        <x:v>기말재고·예약·보류·Open PO를 품목별 입력</x:v>
      </x:c>
      <x:c r="E6" s="54"/>
      <x:c r="F6" s="54"/>
      <x:c r="G6" s="54"/>
      <x:c r="H6" s="54"/>
      <x:c r="I6" s="54"/>
      <x:c r="J6" s="54"/>
    </x:row>
    <x:row r="7">
      <x:c r="A7" s="56" t="n">
        <x:v>3</x:v>
      </x:c>
      <x:c r="B7" s="56" t="str">
        <x:v>05_기기발주계산</x:v>
      </x:c>
      <x:c r="C7" s="56" t="str">
        <x:v>기기 발주 필요량 계산</x:v>
      </x:c>
      <x:c r="D7" s="56" t="str">
        <x:v>수요·재고·안전재고·MOQ·Flex 입력 후 수식 결과 확인</x:v>
      </x:c>
      <x:c r="E7" s="54"/>
      <x:c r="F7" s="54"/>
      <x:c r="G7" s="54"/>
      <x:c r="H7" s="54"/>
      <x:c r="I7" s="54"/>
      <x:c r="J7" s="54"/>
    </x:row>
    <x:row r="8">
      <x:c r="A8" s="56" t="n">
        <x:v>4</x:v>
      </x:c>
      <x:c r="B8" s="56" t="str">
        <x:v>06_옵션발주계산</x:v>
      </x:c>
      <x:c r="C8" s="56" t="str">
        <x:v>BOM·장착율 기반 옵션 수량 계산</x:v>
      </x:c>
      <x:c r="D8" s="56" t="str">
        <x:v>기종별 옵션 수요 입력 후 옵션코드별 합산 결과 확인</x:v>
      </x:c>
      <x:c r="E8" s="54"/>
      <x:c r="F8" s="54"/>
      <x:c r="G8" s="54"/>
      <x:c r="H8" s="54"/>
      <x:c r="I8" s="54"/>
      <x:c r="J8" s="54"/>
    </x:row>
    <x:row r="9">
      <x:c r="A9" s="56" t="n">
        <x:v>5</x:v>
      </x:c>
      <x:c r="B9" s="56" t="str">
        <x:v>08_예외_승인</x:v>
      </x:c>
      <x:c r="C9" s="56" t="str">
        <x:v>예외·조정·승인 이력 관리</x:v>
      </x:c>
      <x:c r="D9" s="56" t="str">
        <x:v>경고 발생 건의 조치·승인 상태 기록</x:v>
      </x:c>
      <x:c r="E9" s="54"/>
      <x:c r="F9" s="54"/>
      <x:c r="G9" s="54"/>
      <x:c r="H9" s="54"/>
      <x:c r="I9" s="54"/>
      <x:c r="J9" s="54"/>
    </x:row>
    <x:row r="10">
      <x:c r="A10" s="56" t="n">
        <x:v>6</x:v>
      </x:c>
      <x:c r="B10" s="56" t="str">
        <x:v>09_보고자료</x:v>
      </x:c>
      <x:c r="C10" s="56" t="str">
        <x:v>사장 보고용 요약</x:v>
      </x:c>
      <x:c r="D10" s="56" t="str">
        <x:v>기기·옵션 금액과 전월 비교, OL 대비 차이를 확인</x:v>
      </x:c>
      <x:c r="E10" s="54"/>
      <x:c r="F10" s="54"/>
      <x:c r="G10" s="54"/>
      <x:c r="H10" s="54"/>
      <x:c r="I10" s="54"/>
      <x:c r="J10" s="54"/>
    </x:row>
    <x:row r="11">
      <x:c r="A11" s="56" t="n">
        <x:v>7</x:v>
      </x:c>
      <x:c r="B11" s="56" t="str">
        <x:v>10_PoC_데이터요구</x:v>
      </x:c>
      <x:c r="C11" s="56" t="str">
        <x:v>데이터 확보 현황 관리</x:v>
      </x:c>
      <x:c r="D11" s="56" t="str">
        <x:v>워크숍에서 식별된 필수 데이터의 담당자·기한 입력</x:v>
      </x:c>
      <x:c r="E11" s="54"/>
      <x:c r="F11" s="54"/>
      <x:c r="G11" s="54"/>
      <x:c r="H11" s="54"/>
      <x:c r="I11" s="54"/>
      <x:c r="J11" s="54"/>
    </x:row>
    <x:row r="12">
      <x:c r="A12" s="56" t="n">
        <x:v>8</x:v>
      </x:c>
      <x:c r="B12" s="56" t="str">
        <x:v>07_기준정보</x:v>
      </x:c>
      <x:c r="C12" s="56" t="str">
        <x:v>기종·옵션·BOM·공급 조건 관리</x:v>
      </x:c>
      <x:c r="D12" s="56" t="str">
        <x:v>실제 운영 전 기준정보를 최신화</x:v>
      </x:c>
      <x:c r="E12" s="54"/>
      <x:c r="F12" s="54"/>
      <x:c r="G12" s="54"/>
      <x:c r="H12" s="54"/>
      <x:c r="I12" s="54"/>
      <x:c r="J12" s="54"/>
    </x:row>
    <x:row r="13">
      <x:c r="A13" s="56" t="n">
        <x:v>9</x:v>
      </x:c>
      <x:c r="B13" s="56" t="str">
        <x:v>11_용어</x:v>
      </x:c>
      <x:c r="C13" s="56" t="str">
        <x:v>용어 정의 및 확인사항</x:v>
      </x:c>
      <x:c r="D13" s="56" t="str">
        <x:v>확정 정의와 확인 담당자 기록</x:v>
      </x:c>
      <x:c r="E13" s="54"/>
      <x:c r="F13" s="54"/>
      <x:c r="G13" s="54"/>
      <x:c r="H13" s="54"/>
      <x:c r="I13" s="54"/>
      <x:c r="J13" s="54"/>
    </x:row>
    <x:row r="14">
      <x:c r="A14" s="56" t="n">
        <x:v>10</x:v>
      </x:c>
      <x:c r="B14" s="56" t="str">
        <x:v>02_발주대시보드</x:v>
      </x:c>
      <x:c r="C14" s="56" t="str">
        <x:v>전체 진행 상태 확인</x:v>
      </x:c>
      <x:c r="D14" s="56" t="str">
        <x:v>발주월과 승인 상태를 입력하면 주요 KPI 표시</x:v>
      </x:c>
      <x:c r="E14" s="54"/>
      <x:c r="F14" s="54"/>
      <x:c r="G14" s="54"/>
      <x:c r="H14" s="54"/>
      <x:c r="I14" s="54"/>
      <x:c r="J14" s="54"/>
    </x:row>
    <x:row r="15">
      <x:c r="A15" s="57" t="n">
        <x:v>11</x:v>
      </x:c>
      <x:c r="B15" s="57" t="str"/>
      <x:c r="C15" s="57" t="str">
        <x:v>주의</x:v>
      </x:c>
      <x:c r="D15" s="57" t="str">
        <x:v>본 파일은 PoC용 템플릿이며 ERP/SFDC 실시간 연동 전에는 업로드 방식으로 사용</x:v>
      </x:c>
      <x:c r="E15" s="54"/>
      <x:c r="F15" s="54"/>
      <x:c r="G15" s="54"/>
      <x:c r="H15" s="54"/>
      <x:c r="I15" s="54"/>
      <x:c r="J15" s="54"/>
    </x:row>
    <x:row r="16">
      <x:c r="A16" s="54"/>
      <x:c r="B16" s="54"/>
      <x:c r="C16" s="54"/>
      <x:c r="D16" s="54"/>
      <x:c r="E16" s="54"/>
      <x:c r="F16" s="54"/>
      <x:c r="G16" s="54"/>
      <x:c r="H16" s="54"/>
      <x:c r="I16" s="54"/>
      <x:c r="J16" s="54"/>
    </x:row>
    <x:row r="17">
      <x:c r="A17" s="54"/>
      <x:c r="B17" s="54"/>
      <x:c r="C17" s="54"/>
      <x:c r="D17" s="54"/>
      <x:c r="E17" s="54"/>
      <x:c r="F17" s="54"/>
      <x:c r="G17" s="54"/>
      <x:c r="H17" s="54"/>
      <x:c r="I17" s="54"/>
      <x:c r="J17" s="54"/>
    </x:row>
    <x:row r="18">
      <x:c r="A18" s="55" t="str">
        <x:v>색상</x:v>
      </x:c>
      <x:c r="B18" s="55" t="str">
        <x:v>의미</x:v>
      </x:c>
      <x:c r="C18" s="55" t="str">
        <x:v>예시</x:v>
      </x:c>
      <x:c r="D18" s="54"/>
      <x:c r="E18" s="54"/>
      <x:c r="F18" s="54"/>
      <x:c r="G18" s="54"/>
      <x:c r="H18" s="54"/>
      <x:c r="I18" s="54"/>
      <x:c r="J18" s="54"/>
    </x:row>
    <x:row r="19">
      <x:c r="A19" s="58" t="str">
        <x:v>노란색</x:v>
      </x:c>
      <x:c r="B19" s="59" t="str">
        <x:v>사용자 입력 영역</x:v>
      </x:c>
      <x:c r="C19" s="59" t="str">
        <x:v>수요·재고·단가·MOQ·Flex·승인</x:v>
      </x:c>
      <x:c r="D19" s="54"/>
      <x:c r="E19" s="54"/>
      <x:c r="F19" s="54"/>
      <x:c r="G19" s="54"/>
      <x:c r="H19" s="54"/>
      <x:c r="I19" s="54"/>
      <x:c r="J19" s="54"/>
    </x:row>
    <x:row r="20">
      <x:c r="A20" s="60" t="str">
        <x:v>녹색</x:v>
      </x:c>
      <x:c r="B20" s="59" t="str">
        <x:v>수식 계산 결과</x:v>
      </x:c>
      <x:c r="C20" s="59" t="str">
        <x:v>가용재고·필요량·MOQ 반영량·금액</x:v>
      </x:c>
      <x:c r="D20" s="54"/>
      <x:c r="E20" s="54"/>
      <x:c r="F20" s="54"/>
      <x:c r="G20" s="54"/>
      <x:c r="H20" s="54"/>
      <x:c r="I20" s="54"/>
      <x:c r="J20" s="54"/>
    </x:row>
    <x:row r="21">
      <x:c r="A21" s="61" t="str">
        <x:v>빨간색</x:v>
      </x:c>
      <x:c r="B21" s="59" t="str">
        <x:v>예외·검토 필요</x:v>
      </x:c>
      <x:c r="C21" s="59" t="str">
        <x:v>Flex 초과·MOQ 과잉·필수 옵션 누락</x:v>
      </x:c>
      <x:c r="D21" s="54"/>
      <x:c r="E21" s="54"/>
      <x:c r="F21" s="54"/>
      <x:c r="G21" s="54"/>
      <x:c r="H21" s="54"/>
      <x:c r="I21" s="54"/>
      <x:c r="J21" s="54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22" hidden="0" customWidth="1"/>
  </x:cols>
  <x:sheetData>
    <x:row r="1" ht="28" customHeight="1">
      <x:c r="A1" s="52" t="str">
        <x:v>월간 발주 대시보드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발주월과 승인 상태를 기준으로 자동 집계됩니다. 계산 시트 입력 후 확인하세요.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62" t="str">
        <x:v>발주월</x:v>
      </x:c>
      <x:c r="B4" s="63" t="n">
        <x:v>46235</x:v>
      </x:c>
      <x:c r="C4" s="54"/>
      <x:c r="D4" s="55" t="str">
        <x:v>KPI</x:v>
      </x:c>
      <x:c r="E4" s="55" t="str">
        <x:v>당월</x:v>
      </x:c>
      <x:c r="F4" s="55" t="str">
        <x:v>전월</x:v>
      </x:c>
      <x:c r="G4" s="55" t="str">
        <x:v>증감</x:v>
      </x:c>
      <x:c r="H4" s="55" t="str">
        <x:v>증감률</x:v>
      </x:c>
      <x:c r="I4" s="55" t="str">
        <x:v>설명</x:v>
      </x:c>
      <x:c r="J4" s="54"/>
    </x:row>
    <x:row r="5">
      <x:c r="A5" s="62" t="str">
        <x:v>승인상태</x:v>
      </x:c>
      <x:c r="B5" s="64" t="str">
        <x:v>승인 요청</x:v>
      </x:c>
      <x:c r="C5" s="54"/>
      <x:c r="D5" s="65" t="str">
        <x:v>총 발주금액</x:v>
      </x:c>
      <x:c r="E5" s="66" t="n">
        <x:f>SUM('05_기기발주계산'!$R$6:$R$205)+SUM('06_옵션발주계산'!$T$6:$T$205)</x:f>
        <x:v>0</x:v>
      </x:c>
      <x:c r="F5" s="66" t="n">
        <x:f>0</x:f>
        <x:v>0</x:v>
      </x:c>
      <x:c r="G5" s="66" t="n">
        <x:f>E5-F5</x:f>
        <x:v>0</x:v>
      </x:c>
      <x:c r="H5" s="67" t="n">
        <x:f>IFERROR(G5/F5,0)</x:f>
        <x:v>0</x:v>
      </x:c>
      <x:c r="I5" s="59" t="str">
        <x:v>단가 포함</x:v>
      </x:c>
      <x:c r="J5" s="54"/>
    </x:row>
    <x:row r="6">
      <x:c r="A6" s="62" t="str">
        <x:v>마지막 업데이트</x:v>
      </x:c>
      <x:c r="B6" s="68" t="n">
        <x:f>TODAY()</x:f>
        <x:v>46247</x:v>
      </x:c>
      <x:c r="C6" s="54"/>
      <x:c r="D6" s="65" t="str">
        <x:v>기기 발주금액</x:v>
      </x:c>
      <x:c r="E6" s="66" t="n">
        <x:f>SUM('05_기기발주계산'!$R$6:$R$205)</x:f>
        <x:v>0</x:v>
      </x:c>
      <x:c r="F6" s="66" t="n">
        <x:f>0</x:f>
        <x:v>0</x:v>
      </x:c>
      <x:c r="G6" s="66" t="n">
        <x:f>E6-F6</x:f>
        <x:v>0</x:v>
      </x:c>
      <x:c r="H6" s="67" t="n">
        <x:f>IFERROR(G6/F6,0)</x:f>
        <x:v>0</x:v>
      </x:c>
      <x:c r="I6" s="59" t="str">
        <x:v>기기 단가 포함</x:v>
      </x:c>
      <x:c r="J6" s="54"/>
    </x:row>
    <x:row r="7">
      <x:c r="A7" s="54"/>
      <x:c r="B7" s="54"/>
      <x:c r="C7" s="54"/>
      <x:c r="D7" s="65" t="str">
        <x:v>옵션 발주금액</x:v>
      </x:c>
      <x:c r="E7" s="66" t="n">
        <x:f>SUM('06_옵션발주계산'!$T$6:$T$205)</x:f>
        <x:v>0</x:v>
      </x:c>
      <x:c r="F7" s="66" t="n">
        <x:f>0</x:f>
        <x:v>0</x:v>
      </x:c>
      <x:c r="G7" s="66" t="n">
        <x:f>E7-F7</x:f>
        <x:v>0</x:v>
      </x:c>
      <x:c r="H7" s="67" t="n">
        <x:f>IFERROR(G7/F7,0)</x:f>
        <x:v>0</x:v>
      </x:c>
      <x:c r="I7" s="59" t="str">
        <x:v>옵션 단가 포함</x:v>
      </x:c>
      <x:c r="J7" s="54"/>
    </x:row>
    <x:row r="8">
      <x:c r="A8" s="54"/>
      <x:c r="B8" s="54"/>
      <x:c r="C8" s="54"/>
      <x:c r="D8" s="65" t="str">
        <x:v>기기 발주수량</x:v>
      </x:c>
      <x:c r="E8" s="66" t="n">
        <x:f>SUM('05_기기발주계산'!$Q$6:$Q$205)</x:f>
        <x:v>0</x:v>
      </x:c>
      <x:c r="F8" s="66" t="n">
        <x:f>0</x:f>
        <x:v>0</x:v>
      </x:c>
      <x:c r="G8" s="66" t="n">
        <x:f>E8-F8</x:f>
        <x:v>0</x:v>
      </x:c>
      <x:c r="H8" s="67" t="n">
        <x:f>IFERROR(G8/F8,0)</x:f>
        <x:v>0</x:v>
      </x:c>
      <x:c r="I8" s="59" t="str">
        <x:v>수량</x:v>
      </x:c>
      <x:c r="J8" s="54"/>
    </x:row>
    <x:row r="9">
      <x:c r="A9" s="54"/>
      <x:c r="B9" s="54"/>
      <x:c r="C9" s="54"/>
      <x:c r="D9" s="65" t="str">
        <x:v>옵션 발주수량</x:v>
      </x:c>
      <x:c r="E9" s="66" t="n">
        <x:f>SUM('06_옵션발주계산'!$S$6:$S$205)</x:f>
        <x:v>0</x:v>
      </x:c>
      <x:c r="F9" s="66" t="n">
        <x:f>0</x:f>
        <x:v>0</x:v>
      </x:c>
      <x:c r="G9" s="66" t="n">
        <x:f>E9-F9</x:f>
        <x:v>0</x:v>
      </x:c>
      <x:c r="H9" s="67" t="n">
        <x:f>IFERROR(G9/F9,0)</x:f>
        <x:v>0</x:v>
      </x:c>
      <x:c r="I9" s="59" t="str">
        <x:v>수량</x:v>
      </x:c>
      <x:c r="J9" s="54"/>
    </x:row>
    <x:row r="10">
      <x:c r="A10" s="54"/>
      <x:c r="B10" s="54"/>
      <x:c r="C10" s="54"/>
      <x:c r="D10" s="65" t="str">
        <x:v>예외 건수</x:v>
      </x:c>
      <x:c r="E10" s="66" t="n">
        <x:f>COUNTIF('08_예외_승인'!$G$6:$G$205,"검토 필요")</x:f>
        <x:v>0</x:v>
      </x:c>
      <x:c r="F10" s="66" t="n">
        <x:f>0</x:f>
        <x:v>0</x:v>
      </x:c>
      <x:c r="G10" s="66" t="n">
        <x:f>E10-F10</x:f>
        <x:v>0</x:v>
      </x:c>
      <x:c r="H10" s="67" t="n">
        <x:f>IFERROR(G10/F10,0)</x:f>
        <x:v>0</x:v>
      </x:c>
      <x:c r="I10" s="59" t="str">
        <x:v>수동 입력</x:v>
      </x:c>
      <x:c r="J10" s="54"/>
    </x:row>
    <x:row r="11">
      <x:c r="A11" s="54"/>
      <x:c r="B11" s="54"/>
      <x:c r="C11" s="54"/>
      <x:c r="D11" s="65" t="str">
        <x:v>Flex 초과</x:v>
      </x:c>
      <x:c r="E11" s="66" t="n">
        <x:f>COUNTIF('05_기기발주계산'!$O$6:$O$205,"Flex 초과")+COUNTIF('06_옵션발주계산'!$Q$6:$Q$205,"Flex 초과")</x:f>
        <x:v>0</x:v>
      </x:c>
      <x:c r="F11" s="66" t="n">
        <x:f>0</x:f>
        <x:v>0</x:v>
      </x:c>
      <x:c r="G11" s="66" t="n">
        <x:f>E11-F11</x:f>
        <x:v>0</x:v>
      </x:c>
      <x:c r="H11" s="67" t="n">
        <x:f>IFERROR(G11/F11,0)</x:f>
        <x:v>0</x:v>
      </x:c>
      <x:c r="I11" s="59" t="str">
        <x:v>규칙 위반</x:v>
      </x:c>
      <x:c r="J11" s="54"/>
    </x:row>
    <x:row r="12">
      <x:c r="A12" s="54"/>
      <x:c r="B12" s="54"/>
      <x:c r="C12" s="54"/>
      <x:c r="D12" s="65" t="str">
        <x:v>필수 옵션 누락</x:v>
      </x:c>
      <x:c r="E12" s="66" t="n">
        <x:f>COUNTIF('06_옵션발주계산'!$R$6:$R$205,"누락")</x:f>
        <x:v>0</x:v>
      </x:c>
      <x:c r="F12" s="66" t="n">
        <x:f>0</x:f>
        <x:v>0</x:v>
      </x:c>
      <x:c r="G12" s="66" t="n">
        <x:f>E12-F12</x:f>
        <x:v>0</x:v>
      </x:c>
      <x:c r="H12" s="67" t="n">
        <x:f>IFERROR(G12/F12,0)</x:f>
        <x:v>0</x:v>
      </x:c>
      <x:c r="I12" s="59" t="str">
        <x:v>BOM 필수품</x:v>
      </x:c>
      <x:c r="J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</x:row>
    <x:row r="15">
      <x:c r="A15" s="54"/>
      <x:c r="B15" s="54"/>
      <x:c r="C15" s="54"/>
      <x:c r="D15" s="54"/>
      <x:c r="E15" s="54"/>
      <x:c r="F15" s="54"/>
      <x:c r="G15" s="54"/>
      <x:c r="H15" s="54"/>
      <x:c r="I15" s="54"/>
      <x:c r="J15" s="54"/>
    </x:row>
    <x:row r="16">
      <x:c r="A16" s="55" t="str">
        <x:v>진행 점검</x:v>
      </x:c>
      <x:c r="B16" s="55" t="str">
        <x:v>상태</x:v>
      </x:c>
      <x:c r="C16" s="55" t="str">
        <x:v>담당</x:v>
      </x:c>
      <x:c r="D16" s="55" t="str">
        <x:v>기한</x:v>
      </x:c>
      <x:c r="E16" s="55" t="str">
        <x:v>결과</x:v>
      </x:c>
      <x:c r="F16" s="55" t="str">
        <x:v>메모</x:v>
      </x:c>
      <x:c r="G16" s="54"/>
      <x:c r="H16" s="54"/>
      <x:c r="I16" s="54"/>
      <x:c r="J16" s="54"/>
    </x:row>
    <x:row r="17">
      <x:c r="A17" s="59" t="str">
        <x:v>OL 취합</x:v>
      </x:c>
      <x:c r="B17" s="59" t="str">
        <x:v>미착수</x:v>
      </x:c>
      <x:c r="C17" s="59" t="str"/>
      <x:c r="D17" s="59" t="str"/>
      <x:c r="E17" s="59" t="str"/>
      <x:c r="F17" s="59" t="str"/>
      <x:c r="G17" s="54"/>
      <x:c r="H17" s="54"/>
      <x:c r="I17" s="54"/>
      <x:c r="J17" s="54"/>
    </x:row>
    <x:row r="18">
      <x:c r="A18" s="59" t="str">
        <x:v>수요 확정</x:v>
      </x:c>
      <x:c r="B18" s="59" t="str">
        <x:v>미착수</x:v>
      </x:c>
      <x:c r="C18" s="59" t="str"/>
      <x:c r="D18" s="59" t="str"/>
      <x:c r="E18" s="59" t="str"/>
      <x:c r="F18" s="59" t="str"/>
      <x:c r="G18" s="54"/>
      <x:c r="H18" s="54"/>
      <x:c r="I18" s="54"/>
      <x:c r="J18" s="54"/>
    </x:row>
    <x:row r="19">
      <x:c r="A19" s="59" t="str">
        <x:v>재고/Open PO</x:v>
      </x:c>
      <x:c r="B19" s="59" t="str">
        <x:v>미착수</x:v>
      </x:c>
      <x:c r="C19" s="59" t="str"/>
      <x:c r="D19" s="59" t="str"/>
      <x:c r="E19" s="59" t="str"/>
      <x:c r="F19" s="59" t="str"/>
      <x:c r="G19" s="54"/>
      <x:c r="H19" s="54"/>
      <x:c r="I19" s="54"/>
      <x:c r="J19" s="54"/>
    </x:row>
    <x:row r="20">
      <x:c r="A20" s="59" t="str">
        <x:v>기기 발주량</x:v>
      </x:c>
      <x:c r="B20" s="59" t="str">
        <x:v>미착수</x:v>
      </x:c>
      <x:c r="C20" s="59" t="str"/>
      <x:c r="D20" s="59" t="str"/>
      <x:c r="E20" s="59" t="str"/>
      <x:c r="F20" s="59" t="str"/>
      <x:c r="G20" s="54"/>
      <x:c r="H20" s="54"/>
      <x:c r="I20" s="54"/>
      <x:c r="J20" s="54"/>
    </x:row>
    <x:row r="21">
      <x:c r="A21" s="59" t="str">
        <x:v>옵션 발주량</x:v>
      </x:c>
      <x:c r="B21" s="59" t="str">
        <x:v>미착수</x:v>
      </x:c>
      <x:c r="C21" s="59" t="str"/>
      <x:c r="D21" s="59" t="str"/>
      <x:c r="E21" s="59" t="str"/>
      <x:c r="F21" s="59" t="str"/>
      <x:c r="G21" s="54"/>
      <x:c r="H21" s="54"/>
      <x:c r="I21" s="54"/>
      <x:c r="J21" s="54"/>
    </x:row>
    <x:row r="22">
      <x:c r="A22" s="59" t="str">
        <x:v>보고·승인</x:v>
      </x:c>
      <x:c r="B22" s="59" t="str">
        <x:v>미착수</x:v>
      </x:c>
      <x:c r="C22" s="59" t="str"/>
      <x:c r="D22" s="59" t="str"/>
      <x:c r="E22" s="59" t="str"/>
      <x:c r="F22" s="59" t="str"/>
      <x:c r="G22" s="54"/>
      <x:c r="H22" s="54"/>
      <x:c r="I22" s="54"/>
      <x:c r="J22" s="54"/>
    </x:row>
    <x:row r="23">
      <x:c r="A23" s="59" t="str">
        <x:v>System 입력·입고</x:v>
      </x:c>
      <x:c r="B23" s="59" t="str">
        <x:v>미착수</x:v>
      </x:c>
      <x:c r="C23" s="59" t="str"/>
      <x:c r="D23" s="59" t="str"/>
      <x:c r="E23" s="59" t="str"/>
      <x:c r="F23" s="59" t="str"/>
      <x:c r="G23" s="54"/>
      <x:c r="H23" s="54"/>
      <x:c r="I23" s="54"/>
      <x:c r="J23" s="54"/>
    </x:row>
  </x:sheetData>
  <x:mergeCells>
    <x:mergeCell ref="A1:J1"/>
    <x:mergeCell ref="A2:J2"/>
  </x:mergeCells>
  <x:dataValidations count="2">
    <x:dataValidation type="list" sqref="B5">
      <x:formula1>"작성 중,수요 확정,산출 완료,승인 요청,승인 완료,발주 입력 완료,입고/지불 관리"</x:formula1>
    </x:dataValidation>
    <x:dataValidation type="list" sqref="B17:B23">
      <x:formula1>"미착수,진행 중,완료,보류"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8" hidden="0" customWidth="1"/>
    <x:col min="5" max="5" width="22" hidden="0" customWidth="1"/>
    <x:col min="6" max="6" width="12" hidden="0" customWidth="1"/>
    <x:col min="7" max="7" width="12" hidden="0" customWidth="1"/>
    <x:col min="8" max="8" width="10" hidden="0" customWidth="1"/>
    <x:col min="9" max="9" width="13" hidden="0" customWidth="1"/>
    <x:col min="10" max="10" width="12" hidden="0" customWidth="1"/>
    <x:col min="11" max="11" width="12" hidden="0" customWidth="1"/>
    <x:col min="12" max="12" width="14" hidden="0" customWidth="1"/>
    <x:col min="13" max="13" width="13" hidden="0" customWidth="1"/>
    <x:col min="14" max="14" width="14" hidden="0" customWidth="1"/>
    <x:col min="15" max="15" width="14" hidden="0" customWidth="1"/>
    <x:col min="16" max="16" width="12" hidden="0" customWidth="1"/>
    <x:col min="17" max="17" width="28" hidden="0" customWidth="1"/>
  </x:cols>
  <x:sheetData>
    <x:row r="1" ht="28" customHeight="1">
      <x:c r="A1" s="52" t="str">
        <x:v>수요 입력 및 확정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  <x:c r="Q1" s="54"/>
    </x:row>
    <x:row r="2">
      <x:c r="A2" s="53" t="str">
        <x:v>OL·SFDC·Bulk-deal·과거 Trend·수급회의 결과를 한 행 단위로 입력합니다.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  <x:c r="Q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</x:row>
    <x:row r="4">
      <x:c r="A4" s="55" t="str">
        <x:v>월도</x:v>
      </x:c>
      <x:c r="B4" s="55" t="str">
        <x:v>수요구분</x:v>
      </x:c>
      <x:c r="C4" s="55" t="str">
        <x:v>법인/채널</x:v>
      </x:c>
      <x:c r="D4" s="55" t="str">
        <x:v>기종/옵션코드</x:v>
      </x:c>
      <x:c r="E4" s="55" t="str">
        <x:v>품목명</x:v>
      </x:c>
      <x:c r="F4" s="55" t="str">
        <x:v>필요월도</x:v>
      </x:c>
      <x:c r="G4" s="55" t="str">
        <x:v>수량</x:v>
      </x:c>
      <x:c r="H4" s="55" t="str">
        <x:v>확도</x:v>
      </x:c>
      <x:c r="I4" s="55" t="str">
        <x:v>확정수량</x:v>
      </x:c>
      <x:c r="J4" s="55" t="str">
        <x:v>변경/취소</x:v>
      </x:c>
      <x:c r="K4" s="55" t="str">
        <x:v>Bulk-deal</x:v>
      </x:c>
      <x:c r="L4" s="55" t="str">
        <x:v>수급회의 조정</x:v>
      </x:c>
      <x:c r="M4" s="55" t="str">
        <x:v>최종 확정</x:v>
      </x:c>
      <x:c r="N4" s="55" t="str">
        <x:v>출처</x:v>
      </x:c>
      <x:c r="O4" s="55" t="str">
        <x:v>담당자</x:v>
      </x:c>
      <x:c r="P4" s="55" t="str">
        <x:v>확정상태</x:v>
      </x:c>
      <x:c r="Q4" s="55" t="str">
        <x:v>조정사유</x:v>
      </x:c>
    </x:row>
    <x:row r="5">
      <x:c r="A5" s="58" t="str"/>
      <x:c r="B5" s="58" t="str"/>
      <x:c r="C5" s="58" t="str"/>
      <x:c r="D5" s="58" t="str"/>
      <x:c r="E5" s="58" t="str"/>
      <x:c r="F5" s="69" t="str"/>
      <x:c r="G5" s="70"/>
      <x:c r="H5" s="58" t="str"/>
      <x:c r="I5" s="66" t="str">
        <x:f>IF(A5="","",MAX(0,G5+L5+IF(K5="Y",G5,0)-IF(J5="취소",G5,0)))</x:f>
      </x:c>
      <x:c r="J5" s="58" t="str"/>
      <x:c r="K5" s="58" t="str"/>
      <x:c r="L5" s="70"/>
      <x:c r="M5" s="66" t="n">
        <x:f>IF(P5="확정",I5,0)</x:f>
        <x:v>0</x:v>
      </x:c>
      <x:c r="N5" s="58" t="str"/>
      <x:c r="O5" s="58" t="str"/>
      <x:c r="P5" s="58" t="str">
        <x:v>미확정</x:v>
      </x:c>
      <x:c r="Q5" s="58" t="str"/>
    </x:row>
    <x:row r="6">
      <x:c r="A6" s="58" t="str"/>
      <x:c r="B6" s="58" t="str"/>
      <x:c r="C6" s="58" t="str"/>
      <x:c r="D6" s="58" t="str"/>
      <x:c r="E6" s="58" t="str"/>
      <x:c r="F6" s="69" t="str"/>
      <x:c r="G6" s="70"/>
      <x:c r="H6" s="58" t="str"/>
      <x:c r="I6" s="66" t="str">
        <x:f>IF(A6="","",MAX(0,G6+L6+IF(K6="Y",G6,0)-IF(J6="취소",G6,0)))</x:f>
      </x:c>
      <x:c r="J6" s="58" t="str"/>
      <x:c r="K6" s="58" t="str"/>
      <x:c r="L6" s="70"/>
      <x:c r="M6" s="66" t="n">
        <x:f>IF(P6="확정",I6,0)</x:f>
        <x:v>0</x:v>
      </x:c>
      <x:c r="N6" s="58" t="str"/>
      <x:c r="O6" s="58" t="str"/>
      <x:c r="P6" s="58" t="str">
        <x:v>미확정</x:v>
      </x:c>
      <x:c r="Q6" s="58" t="str"/>
    </x:row>
    <x:row r="7">
      <x:c r="A7" s="58" t="str"/>
      <x:c r="B7" s="58" t="str"/>
      <x:c r="C7" s="58" t="str"/>
      <x:c r="D7" s="58" t="str"/>
      <x:c r="E7" s="58" t="str"/>
      <x:c r="F7" s="69" t="str"/>
      <x:c r="G7" s="70"/>
      <x:c r="H7" s="58" t="str"/>
      <x:c r="I7" s="66" t="str">
        <x:f>IF(A7="","",MAX(0,G7+L7+IF(K7="Y",G7,0)-IF(J7="취소",G7,0)))</x:f>
      </x:c>
      <x:c r="J7" s="58" t="str"/>
      <x:c r="K7" s="58" t="str"/>
      <x:c r="L7" s="70"/>
      <x:c r="M7" s="66" t="n">
        <x:f>IF(P7="확정",I7,0)</x:f>
        <x:v>0</x:v>
      </x:c>
      <x:c r="N7" s="58" t="str"/>
      <x:c r="O7" s="58" t="str"/>
      <x:c r="P7" s="58" t="str">
        <x:v>미확정</x:v>
      </x:c>
      <x:c r="Q7" s="58" t="str"/>
    </x:row>
    <x:row r="8">
      <x:c r="A8" s="58" t="str"/>
      <x:c r="B8" s="58" t="str"/>
      <x:c r="C8" s="58" t="str"/>
      <x:c r="D8" s="58" t="str"/>
      <x:c r="E8" s="58" t="str"/>
      <x:c r="F8" s="69" t="str"/>
      <x:c r="G8" s="70"/>
      <x:c r="H8" s="58" t="str"/>
      <x:c r="I8" s="66" t="str">
        <x:f>IF(A8="","",MAX(0,G8+L8+IF(K8="Y",G8,0)-IF(J8="취소",G8,0)))</x:f>
      </x:c>
      <x:c r="J8" s="58" t="str"/>
      <x:c r="K8" s="58" t="str"/>
      <x:c r="L8" s="70"/>
      <x:c r="M8" s="66" t="n">
        <x:f>IF(P8="확정",I8,0)</x:f>
        <x:v>0</x:v>
      </x:c>
      <x:c r="N8" s="58" t="str"/>
      <x:c r="O8" s="58" t="str"/>
      <x:c r="P8" s="58" t="str">
        <x:v>미확정</x:v>
      </x:c>
      <x:c r="Q8" s="58" t="str"/>
    </x:row>
    <x:row r="9">
      <x:c r="A9" s="58" t="str"/>
      <x:c r="B9" s="58" t="str"/>
      <x:c r="C9" s="58" t="str"/>
      <x:c r="D9" s="58" t="str"/>
      <x:c r="E9" s="58" t="str"/>
      <x:c r="F9" s="69" t="str"/>
      <x:c r="G9" s="70"/>
      <x:c r="H9" s="58" t="str"/>
      <x:c r="I9" s="66" t="str">
        <x:f>IF(A9="","",MAX(0,G9+L9+IF(K9="Y",G9,0)-IF(J9="취소",G9,0)))</x:f>
      </x:c>
      <x:c r="J9" s="58" t="str"/>
      <x:c r="K9" s="58" t="str"/>
      <x:c r="L9" s="70"/>
      <x:c r="M9" s="66" t="n">
        <x:f>IF(P9="확정",I9,0)</x:f>
        <x:v>0</x:v>
      </x:c>
      <x:c r="N9" s="58" t="str"/>
      <x:c r="O9" s="58" t="str"/>
      <x:c r="P9" s="58" t="str">
        <x:v>미확정</x:v>
      </x:c>
      <x:c r="Q9" s="58" t="str"/>
    </x:row>
    <x:row r="10">
      <x:c r="A10" s="58" t="str"/>
      <x:c r="B10" s="58" t="str"/>
      <x:c r="C10" s="58" t="str"/>
      <x:c r="D10" s="58" t="str"/>
      <x:c r="E10" s="58" t="str"/>
      <x:c r="F10" s="69" t="str"/>
      <x:c r="G10" s="70"/>
      <x:c r="H10" s="58" t="str"/>
      <x:c r="I10" s="66" t="str">
        <x:f>IF(A10="","",MAX(0,G10+L10+IF(K10="Y",G10,0)-IF(J10="취소",G10,0)))</x:f>
      </x:c>
      <x:c r="J10" s="58" t="str"/>
      <x:c r="K10" s="58" t="str"/>
      <x:c r="L10" s="70"/>
      <x:c r="M10" s="66" t="n">
        <x:f>IF(P10="확정",I10,0)</x:f>
        <x:v>0</x:v>
      </x:c>
      <x:c r="N10" s="58" t="str"/>
      <x:c r="O10" s="58" t="str"/>
      <x:c r="P10" s="58" t="str">
        <x:v>미확정</x:v>
      </x:c>
      <x:c r="Q10" s="58" t="str"/>
    </x:row>
    <x:row r="11">
      <x:c r="A11" s="58" t="str"/>
      <x:c r="B11" s="58" t="str"/>
      <x:c r="C11" s="58" t="str"/>
      <x:c r="D11" s="58" t="str"/>
      <x:c r="E11" s="58" t="str"/>
      <x:c r="F11" s="69" t="str"/>
      <x:c r="G11" s="70"/>
      <x:c r="H11" s="58" t="str"/>
      <x:c r="I11" s="66" t="str">
        <x:f>IF(A11="","",MAX(0,G11+L11+IF(K11="Y",G11,0)-IF(J11="취소",G11,0)))</x:f>
      </x:c>
      <x:c r="J11" s="58" t="str"/>
      <x:c r="K11" s="58" t="str"/>
      <x:c r="L11" s="70"/>
      <x:c r="M11" s="66" t="n">
        <x:f>IF(P11="확정",I11,0)</x:f>
        <x:v>0</x:v>
      </x:c>
      <x:c r="N11" s="58" t="str"/>
      <x:c r="O11" s="58" t="str"/>
      <x:c r="P11" s="58" t="str">
        <x:v>미확정</x:v>
      </x:c>
      <x:c r="Q11" s="58" t="str"/>
    </x:row>
    <x:row r="12">
      <x:c r="A12" s="58" t="str"/>
      <x:c r="B12" s="58" t="str"/>
      <x:c r="C12" s="58" t="str"/>
      <x:c r="D12" s="58" t="str"/>
      <x:c r="E12" s="58" t="str"/>
      <x:c r="F12" s="69" t="str"/>
      <x:c r="G12" s="70"/>
      <x:c r="H12" s="58" t="str"/>
      <x:c r="I12" s="66" t="str">
        <x:f>IF(A12="","",MAX(0,G12+L12+IF(K12="Y",G12,0)-IF(J12="취소",G12,0)))</x:f>
      </x:c>
      <x:c r="J12" s="58" t="str"/>
      <x:c r="K12" s="58" t="str"/>
      <x:c r="L12" s="70"/>
      <x:c r="M12" s="66" t="n">
        <x:f>IF(P12="확정",I12,0)</x:f>
        <x:v>0</x:v>
      </x:c>
      <x:c r="N12" s="58" t="str"/>
      <x:c r="O12" s="58" t="str"/>
      <x:c r="P12" s="58" t="str">
        <x:v>미확정</x:v>
      </x:c>
      <x:c r="Q12" s="58" t="str"/>
    </x:row>
    <x:row r="13">
      <x:c r="A13" s="58" t="str"/>
      <x:c r="B13" s="58" t="str"/>
      <x:c r="C13" s="58" t="str"/>
      <x:c r="D13" s="58" t="str"/>
      <x:c r="E13" s="58" t="str"/>
      <x:c r="F13" s="69" t="str"/>
      <x:c r="G13" s="70"/>
      <x:c r="H13" s="58" t="str"/>
      <x:c r="I13" s="66" t="str">
        <x:f>IF(A13="","",MAX(0,G13+L13+IF(K13="Y",G13,0)-IF(J13="취소",G13,0)))</x:f>
      </x:c>
      <x:c r="J13" s="58" t="str"/>
      <x:c r="K13" s="58" t="str"/>
      <x:c r="L13" s="70"/>
      <x:c r="M13" s="66" t="n">
        <x:f>IF(P13="확정",I13,0)</x:f>
        <x:v>0</x:v>
      </x:c>
      <x:c r="N13" s="58" t="str"/>
      <x:c r="O13" s="58" t="str"/>
      <x:c r="P13" s="58" t="str">
        <x:v>미확정</x:v>
      </x:c>
      <x:c r="Q13" s="58" t="str"/>
    </x:row>
    <x:row r="14">
      <x:c r="A14" s="58" t="str"/>
      <x:c r="B14" s="58" t="str"/>
      <x:c r="C14" s="58" t="str"/>
      <x:c r="D14" s="58" t="str"/>
      <x:c r="E14" s="58" t="str"/>
      <x:c r="F14" s="69" t="str"/>
      <x:c r="G14" s="70"/>
      <x:c r="H14" s="58" t="str"/>
      <x:c r="I14" s="66" t="str">
        <x:f>IF(A14="","",MAX(0,G14+L14+IF(K14="Y",G14,0)-IF(J14="취소",G14,0)))</x:f>
      </x:c>
      <x:c r="J14" s="58" t="str"/>
      <x:c r="K14" s="58" t="str"/>
      <x:c r="L14" s="70"/>
      <x:c r="M14" s="66" t="n">
        <x:f>IF(P14="확정",I14,0)</x:f>
        <x:v>0</x:v>
      </x:c>
      <x:c r="N14" s="58" t="str"/>
      <x:c r="O14" s="58" t="str"/>
      <x:c r="P14" s="58" t="str">
        <x:v>미확정</x:v>
      </x:c>
      <x:c r="Q14" s="58" t="str"/>
    </x:row>
    <x:row r="15">
      <x:c r="A15" s="58" t="str"/>
      <x:c r="B15" s="58" t="str"/>
      <x:c r="C15" s="58" t="str"/>
      <x:c r="D15" s="58" t="str"/>
      <x:c r="E15" s="58" t="str"/>
      <x:c r="F15" s="69" t="str"/>
      <x:c r="G15" s="70"/>
      <x:c r="H15" s="58" t="str"/>
      <x:c r="I15" s="66" t="str">
        <x:f>IF(A15="","",MAX(0,G15+L15+IF(K15="Y",G15,0)-IF(J15="취소",G15,0)))</x:f>
      </x:c>
      <x:c r="J15" s="58" t="str"/>
      <x:c r="K15" s="58" t="str"/>
      <x:c r="L15" s="70"/>
      <x:c r="M15" s="66" t="n">
        <x:f>IF(P15="확정",I15,0)</x:f>
        <x:v>0</x:v>
      </x:c>
      <x:c r="N15" s="58" t="str"/>
      <x:c r="O15" s="58" t="str"/>
      <x:c r="P15" s="58" t="str">
        <x:v>미확정</x:v>
      </x:c>
      <x:c r="Q15" s="58" t="str"/>
    </x:row>
    <x:row r="16">
      <x:c r="A16" s="58" t="str"/>
      <x:c r="B16" s="58" t="str"/>
      <x:c r="C16" s="58" t="str"/>
      <x:c r="D16" s="58" t="str"/>
      <x:c r="E16" s="58" t="str"/>
      <x:c r="F16" s="69" t="str"/>
      <x:c r="G16" s="70"/>
      <x:c r="H16" s="58" t="str"/>
      <x:c r="I16" s="66" t="str">
        <x:f>IF(A16="","",MAX(0,G16+L16+IF(K16="Y",G16,0)-IF(J16="취소",G16,0)))</x:f>
      </x:c>
      <x:c r="J16" s="58" t="str"/>
      <x:c r="K16" s="58" t="str"/>
      <x:c r="L16" s="70"/>
      <x:c r="M16" s="66" t="n">
        <x:f>IF(P16="확정",I16,0)</x:f>
        <x:v>0</x:v>
      </x:c>
      <x:c r="N16" s="58" t="str"/>
      <x:c r="O16" s="58" t="str"/>
      <x:c r="P16" s="58" t="str">
        <x:v>미확정</x:v>
      </x:c>
      <x:c r="Q16" s="58" t="str"/>
    </x:row>
    <x:row r="17">
      <x:c r="A17" s="58" t="str"/>
      <x:c r="B17" s="58" t="str"/>
      <x:c r="C17" s="58" t="str"/>
      <x:c r="D17" s="58" t="str"/>
      <x:c r="E17" s="58" t="str"/>
      <x:c r="F17" s="69" t="str"/>
      <x:c r="G17" s="70"/>
      <x:c r="H17" s="58" t="str"/>
      <x:c r="I17" s="66" t="str">
        <x:f>IF(A17="","",MAX(0,G17+L17+IF(K17="Y",G17,0)-IF(J17="취소",G17,0)))</x:f>
      </x:c>
      <x:c r="J17" s="58" t="str"/>
      <x:c r="K17" s="58" t="str"/>
      <x:c r="L17" s="70"/>
      <x:c r="M17" s="66" t="n">
        <x:f>IF(P17="확정",I17,0)</x:f>
        <x:v>0</x:v>
      </x:c>
      <x:c r="N17" s="58" t="str"/>
      <x:c r="O17" s="58" t="str"/>
      <x:c r="P17" s="58" t="str">
        <x:v>미확정</x:v>
      </x:c>
      <x:c r="Q17" s="58" t="str"/>
    </x:row>
    <x:row r="18">
      <x:c r="A18" s="58" t="str"/>
      <x:c r="B18" s="58" t="str"/>
      <x:c r="C18" s="58" t="str"/>
      <x:c r="D18" s="58" t="str"/>
      <x:c r="E18" s="58" t="str"/>
      <x:c r="F18" s="69" t="str"/>
      <x:c r="G18" s="70"/>
      <x:c r="H18" s="58" t="str"/>
      <x:c r="I18" s="66" t="str">
        <x:f>IF(A18="","",MAX(0,G18+L18+IF(K18="Y",G18,0)-IF(J18="취소",G18,0)))</x:f>
      </x:c>
      <x:c r="J18" s="58" t="str"/>
      <x:c r="K18" s="58" t="str"/>
      <x:c r="L18" s="70"/>
      <x:c r="M18" s="66" t="n">
        <x:f>IF(P18="확정",I18,0)</x:f>
        <x:v>0</x:v>
      </x:c>
      <x:c r="N18" s="58" t="str"/>
      <x:c r="O18" s="58" t="str"/>
      <x:c r="P18" s="58" t="str">
        <x:v>미확정</x:v>
      </x:c>
      <x:c r="Q18" s="58" t="str"/>
    </x:row>
    <x:row r="19">
      <x:c r="A19" s="58" t="str"/>
      <x:c r="B19" s="58" t="str"/>
      <x:c r="C19" s="58" t="str"/>
      <x:c r="D19" s="58" t="str"/>
      <x:c r="E19" s="58" t="str"/>
      <x:c r="F19" s="69" t="str"/>
      <x:c r="G19" s="70"/>
      <x:c r="H19" s="58" t="str"/>
      <x:c r="I19" s="66" t="str">
        <x:f>IF(A19="","",MAX(0,G19+L19+IF(K19="Y",G19,0)-IF(J19="취소",G19,0)))</x:f>
      </x:c>
      <x:c r="J19" s="58" t="str"/>
      <x:c r="K19" s="58" t="str"/>
      <x:c r="L19" s="70"/>
      <x:c r="M19" s="66" t="n">
        <x:f>IF(P19="확정",I19,0)</x:f>
        <x:v>0</x:v>
      </x:c>
      <x:c r="N19" s="58" t="str"/>
      <x:c r="O19" s="58" t="str"/>
      <x:c r="P19" s="58" t="str">
        <x:v>미확정</x:v>
      </x:c>
      <x:c r="Q19" s="58" t="str"/>
    </x:row>
    <x:row r="20">
      <x:c r="A20" s="58" t="str"/>
      <x:c r="B20" s="58" t="str"/>
      <x:c r="C20" s="58" t="str"/>
      <x:c r="D20" s="58" t="str"/>
      <x:c r="E20" s="58" t="str"/>
      <x:c r="F20" s="69" t="str"/>
      <x:c r="G20" s="70"/>
      <x:c r="H20" s="58" t="str"/>
      <x:c r="I20" s="66" t="str">
        <x:f>IF(A20="","",MAX(0,G20+L20+IF(K20="Y",G20,0)-IF(J20="취소",G20,0)))</x:f>
      </x:c>
      <x:c r="J20" s="58" t="str"/>
      <x:c r="K20" s="58" t="str"/>
      <x:c r="L20" s="70"/>
      <x:c r="M20" s="66" t="n">
        <x:f>IF(P20="확정",I20,0)</x:f>
        <x:v>0</x:v>
      </x:c>
      <x:c r="N20" s="58" t="str"/>
      <x:c r="O20" s="58" t="str"/>
      <x:c r="P20" s="58" t="str">
        <x:v>미확정</x:v>
      </x:c>
      <x:c r="Q20" s="58" t="str"/>
    </x:row>
    <x:row r="21">
      <x:c r="A21" s="58" t="str"/>
      <x:c r="B21" s="58" t="str"/>
      <x:c r="C21" s="58" t="str"/>
      <x:c r="D21" s="58" t="str"/>
      <x:c r="E21" s="58" t="str"/>
      <x:c r="F21" s="69" t="str"/>
      <x:c r="G21" s="70"/>
      <x:c r="H21" s="58" t="str"/>
      <x:c r="I21" s="66" t="str">
        <x:f>IF(A21="","",MAX(0,G21+L21+IF(K21="Y",G21,0)-IF(J21="취소",G21,0)))</x:f>
      </x:c>
      <x:c r="J21" s="58" t="str"/>
      <x:c r="K21" s="58" t="str"/>
      <x:c r="L21" s="70"/>
      <x:c r="M21" s="66" t="n">
        <x:f>IF(P21="확정",I21,0)</x:f>
        <x:v>0</x:v>
      </x:c>
      <x:c r="N21" s="58" t="str"/>
      <x:c r="O21" s="58" t="str"/>
      <x:c r="P21" s="58" t="str">
        <x:v>미확정</x:v>
      </x:c>
      <x:c r="Q21" s="58" t="str"/>
    </x:row>
    <x:row r="22">
      <x:c r="A22" s="58" t="str"/>
      <x:c r="B22" s="58" t="str"/>
      <x:c r="C22" s="58" t="str"/>
      <x:c r="D22" s="58" t="str"/>
      <x:c r="E22" s="58" t="str"/>
      <x:c r="F22" s="69" t="str"/>
      <x:c r="G22" s="70"/>
      <x:c r="H22" s="58" t="str"/>
      <x:c r="I22" s="66" t="str">
        <x:f>IF(A22="","",MAX(0,G22+L22+IF(K22="Y",G22,0)-IF(J22="취소",G22,0)))</x:f>
      </x:c>
      <x:c r="J22" s="58" t="str"/>
      <x:c r="K22" s="58" t="str"/>
      <x:c r="L22" s="70"/>
      <x:c r="M22" s="66" t="n">
        <x:f>IF(P22="확정",I22,0)</x:f>
        <x:v>0</x:v>
      </x:c>
      <x:c r="N22" s="58" t="str"/>
      <x:c r="O22" s="58" t="str"/>
      <x:c r="P22" s="58" t="str">
        <x:v>미확정</x:v>
      </x:c>
      <x:c r="Q22" s="58" t="str"/>
    </x:row>
    <x:row r="23">
      <x:c r="A23" s="58" t="str"/>
      <x:c r="B23" s="58" t="str"/>
      <x:c r="C23" s="58" t="str"/>
      <x:c r="D23" s="58" t="str"/>
      <x:c r="E23" s="58" t="str"/>
      <x:c r="F23" s="69" t="str"/>
      <x:c r="G23" s="70"/>
      <x:c r="H23" s="58" t="str"/>
      <x:c r="I23" s="66" t="str">
        <x:f>IF(A23="","",MAX(0,G23+L23+IF(K23="Y",G23,0)-IF(J23="취소",G23,0)))</x:f>
      </x:c>
      <x:c r="J23" s="58" t="str"/>
      <x:c r="K23" s="58" t="str"/>
      <x:c r="L23" s="70"/>
      <x:c r="M23" s="66" t="n">
        <x:f>IF(P23="확정",I23,0)</x:f>
        <x:v>0</x:v>
      </x:c>
      <x:c r="N23" s="58" t="str"/>
      <x:c r="O23" s="58" t="str"/>
      <x:c r="P23" s="58" t="str">
        <x:v>미확정</x:v>
      </x:c>
      <x:c r="Q23" s="58" t="str"/>
    </x:row>
    <x:row r="24">
      <x:c r="A24" s="58" t="str"/>
      <x:c r="B24" s="58" t="str"/>
      <x:c r="C24" s="58" t="str"/>
      <x:c r="D24" s="58" t="str"/>
      <x:c r="E24" s="58" t="str"/>
      <x:c r="F24" s="69" t="str"/>
      <x:c r="G24" s="70"/>
      <x:c r="H24" s="58" t="str"/>
      <x:c r="I24" s="66" t="str">
        <x:f>IF(A24="","",MAX(0,G24+L24+IF(K24="Y",G24,0)-IF(J24="취소",G24,0)))</x:f>
      </x:c>
      <x:c r="J24" s="58" t="str"/>
      <x:c r="K24" s="58" t="str"/>
      <x:c r="L24" s="70"/>
      <x:c r="M24" s="66" t="n">
        <x:f>IF(P24="확정",I24,0)</x:f>
        <x:v>0</x:v>
      </x:c>
      <x:c r="N24" s="58" t="str"/>
      <x:c r="O24" s="58" t="str"/>
      <x:c r="P24" s="58" t="str">
        <x:v>미확정</x:v>
      </x:c>
      <x:c r="Q24" s="58" t="str"/>
    </x:row>
    <x:row r="25">
      <x:c r="A25" s="58" t="str"/>
      <x:c r="B25" s="58" t="str"/>
      <x:c r="C25" s="58" t="str"/>
      <x:c r="D25" s="58" t="str"/>
      <x:c r="E25" s="58" t="str"/>
      <x:c r="F25" s="69" t="str"/>
      <x:c r="G25" s="70"/>
      <x:c r="H25" s="58" t="str"/>
      <x:c r="I25" s="66" t="str">
        <x:f>IF(A25="","",MAX(0,G25+L25+IF(K25="Y",G25,0)-IF(J25="취소",G25,0)))</x:f>
      </x:c>
      <x:c r="J25" s="58" t="str"/>
      <x:c r="K25" s="58" t="str"/>
      <x:c r="L25" s="70"/>
      <x:c r="M25" s="66" t="n">
        <x:f>IF(P25="확정",I25,0)</x:f>
        <x:v>0</x:v>
      </x:c>
      <x:c r="N25" s="58" t="str"/>
      <x:c r="O25" s="58" t="str"/>
      <x:c r="P25" s="58" t="str">
        <x:v>미확정</x:v>
      </x:c>
      <x:c r="Q25" s="58" t="str"/>
    </x:row>
    <x:row r="26">
      <x:c r="A26" s="58" t="str"/>
      <x:c r="B26" s="58" t="str"/>
      <x:c r="C26" s="58" t="str"/>
      <x:c r="D26" s="58" t="str"/>
      <x:c r="E26" s="58" t="str"/>
      <x:c r="F26" s="69" t="str"/>
      <x:c r="G26" s="70"/>
      <x:c r="H26" s="58" t="str"/>
      <x:c r="I26" s="66" t="str">
        <x:f>IF(A26="","",MAX(0,G26+L26+IF(K26="Y",G26,0)-IF(J26="취소",G26,0)))</x:f>
      </x:c>
      <x:c r="J26" s="58" t="str"/>
      <x:c r="K26" s="58" t="str"/>
      <x:c r="L26" s="70"/>
      <x:c r="M26" s="66" t="n">
        <x:f>IF(P26="확정",I26,0)</x:f>
        <x:v>0</x:v>
      </x:c>
      <x:c r="N26" s="58" t="str"/>
      <x:c r="O26" s="58" t="str"/>
      <x:c r="P26" s="58" t="str">
        <x:v>미확정</x:v>
      </x:c>
      <x:c r="Q26" s="58" t="str"/>
    </x:row>
    <x:row r="27">
      <x:c r="A27" s="58" t="str"/>
      <x:c r="B27" s="58" t="str"/>
      <x:c r="C27" s="58" t="str"/>
      <x:c r="D27" s="58" t="str"/>
      <x:c r="E27" s="58" t="str"/>
      <x:c r="F27" s="69" t="str"/>
      <x:c r="G27" s="70"/>
      <x:c r="H27" s="58" t="str"/>
      <x:c r="I27" s="66" t="str">
        <x:f>IF(A27="","",MAX(0,G27+L27+IF(K27="Y",G27,0)-IF(J27="취소",G27,0)))</x:f>
      </x:c>
      <x:c r="J27" s="58" t="str"/>
      <x:c r="K27" s="58" t="str"/>
      <x:c r="L27" s="70"/>
      <x:c r="M27" s="66" t="n">
        <x:f>IF(P27="확정",I27,0)</x:f>
        <x:v>0</x:v>
      </x:c>
      <x:c r="N27" s="58" t="str"/>
      <x:c r="O27" s="58" t="str"/>
      <x:c r="P27" s="58" t="str">
        <x:v>미확정</x:v>
      </x:c>
      <x:c r="Q27" s="58" t="str"/>
    </x:row>
    <x:row r="28">
      <x:c r="A28" s="58" t="str"/>
      <x:c r="B28" s="58" t="str"/>
      <x:c r="C28" s="58" t="str"/>
      <x:c r="D28" s="58" t="str"/>
      <x:c r="E28" s="58" t="str"/>
      <x:c r="F28" s="69" t="str"/>
      <x:c r="G28" s="70"/>
      <x:c r="H28" s="58" t="str"/>
      <x:c r="I28" s="66" t="str">
        <x:f>IF(A28="","",MAX(0,G28+L28+IF(K28="Y",G28,0)-IF(J28="취소",G28,0)))</x:f>
      </x:c>
      <x:c r="J28" s="58" t="str"/>
      <x:c r="K28" s="58" t="str"/>
      <x:c r="L28" s="70"/>
      <x:c r="M28" s="66" t="n">
        <x:f>IF(P28="확정",I28,0)</x:f>
        <x:v>0</x:v>
      </x:c>
      <x:c r="N28" s="58" t="str"/>
      <x:c r="O28" s="58" t="str"/>
      <x:c r="P28" s="58" t="str">
        <x:v>미확정</x:v>
      </x:c>
      <x:c r="Q28" s="58" t="str"/>
    </x:row>
    <x:row r="29">
      <x:c r="A29" s="58" t="str"/>
      <x:c r="B29" s="58" t="str"/>
      <x:c r="C29" s="58" t="str"/>
      <x:c r="D29" s="58" t="str"/>
      <x:c r="E29" s="58" t="str"/>
      <x:c r="F29" s="69" t="str"/>
      <x:c r="G29" s="70"/>
      <x:c r="H29" s="58" t="str"/>
      <x:c r="I29" s="66" t="str">
        <x:f>IF(A29="","",MAX(0,G29+L29+IF(K29="Y",G29,0)-IF(J29="취소",G29,0)))</x:f>
      </x:c>
      <x:c r="J29" s="58" t="str"/>
      <x:c r="K29" s="58" t="str"/>
      <x:c r="L29" s="70"/>
      <x:c r="M29" s="66" t="n">
        <x:f>IF(P29="확정",I29,0)</x:f>
        <x:v>0</x:v>
      </x:c>
      <x:c r="N29" s="58" t="str"/>
      <x:c r="O29" s="58" t="str"/>
      <x:c r="P29" s="58" t="str">
        <x:v>미확정</x:v>
      </x:c>
      <x:c r="Q29" s="58" t="str"/>
    </x:row>
    <x:row r="30">
      <x:c r="A30" s="58" t="str"/>
      <x:c r="B30" s="58" t="str"/>
      <x:c r="C30" s="58" t="str"/>
      <x:c r="D30" s="58" t="str"/>
      <x:c r="E30" s="58" t="str"/>
      <x:c r="F30" s="69" t="str"/>
      <x:c r="G30" s="70"/>
      <x:c r="H30" s="58" t="str"/>
      <x:c r="I30" s="66" t="str">
        <x:f>IF(A30="","",MAX(0,G30+L30+IF(K30="Y",G30,0)-IF(J30="취소",G30,0)))</x:f>
      </x:c>
      <x:c r="J30" s="58" t="str"/>
      <x:c r="K30" s="58" t="str"/>
      <x:c r="L30" s="70"/>
      <x:c r="M30" s="66" t="n">
        <x:f>IF(P30="확정",I30,0)</x:f>
        <x:v>0</x:v>
      </x:c>
      <x:c r="N30" s="58" t="str"/>
      <x:c r="O30" s="58" t="str"/>
      <x:c r="P30" s="58" t="str">
        <x:v>미확정</x:v>
      </x:c>
      <x:c r="Q30" s="58" t="str"/>
    </x:row>
    <x:row r="31">
      <x:c r="A31" s="58" t="str"/>
      <x:c r="B31" s="58" t="str"/>
      <x:c r="C31" s="58" t="str"/>
      <x:c r="D31" s="58" t="str"/>
      <x:c r="E31" s="58" t="str"/>
      <x:c r="F31" s="69" t="str"/>
      <x:c r="G31" s="70"/>
      <x:c r="H31" s="58" t="str"/>
      <x:c r="I31" s="66" t="str">
        <x:f>IF(A31="","",MAX(0,G31+L31+IF(K31="Y",G31,0)-IF(J31="취소",G31,0)))</x:f>
      </x:c>
      <x:c r="J31" s="58" t="str"/>
      <x:c r="K31" s="58" t="str"/>
      <x:c r="L31" s="70"/>
      <x:c r="M31" s="66" t="n">
        <x:f>IF(P31="확정",I31,0)</x:f>
        <x:v>0</x:v>
      </x:c>
      <x:c r="N31" s="58" t="str"/>
      <x:c r="O31" s="58" t="str"/>
      <x:c r="P31" s="58" t="str">
        <x:v>미확정</x:v>
      </x:c>
      <x:c r="Q31" s="58" t="str"/>
    </x:row>
    <x:row r="32">
      <x:c r="A32" s="58" t="str"/>
      <x:c r="B32" s="58" t="str"/>
      <x:c r="C32" s="58" t="str"/>
      <x:c r="D32" s="58" t="str"/>
      <x:c r="E32" s="58" t="str"/>
      <x:c r="F32" s="69" t="str"/>
      <x:c r="G32" s="70"/>
      <x:c r="H32" s="58" t="str"/>
      <x:c r="I32" s="66" t="str">
        <x:f>IF(A32="","",MAX(0,G32+L32+IF(K32="Y",G32,0)-IF(J32="취소",G32,0)))</x:f>
      </x:c>
      <x:c r="J32" s="58" t="str"/>
      <x:c r="K32" s="58" t="str"/>
      <x:c r="L32" s="70"/>
      <x:c r="M32" s="66" t="n">
        <x:f>IF(P32="확정",I32,0)</x:f>
        <x:v>0</x:v>
      </x:c>
      <x:c r="N32" s="58" t="str"/>
      <x:c r="O32" s="58" t="str"/>
      <x:c r="P32" s="58" t="str">
        <x:v>미확정</x:v>
      </x:c>
      <x:c r="Q32" s="58" t="str"/>
    </x:row>
    <x:row r="33">
      <x:c r="A33" s="58" t="str"/>
      <x:c r="B33" s="58" t="str"/>
      <x:c r="C33" s="58" t="str"/>
      <x:c r="D33" s="58" t="str"/>
      <x:c r="E33" s="58" t="str"/>
      <x:c r="F33" s="69" t="str"/>
      <x:c r="G33" s="70"/>
      <x:c r="H33" s="58" t="str"/>
      <x:c r="I33" s="66" t="str">
        <x:f>IF(A33="","",MAX(0,G33+L33+IF(K33="Y",G33,0)-IF(J33="취소",G33,0)))</x:f>
      </x:c>
      <x:c r="J33" s="58" t="str"/>
      <x:c r="K33" s="58" t="str"/>
      <x:c r="L33" s="70"/>
      <x:c r="M33" s="66" t="n">
        <x:f>IF(P33="확정",I33,0)</x:f>
        <x:v>0</x:v>
      </x:c>
      <x:c r="N33" s="58" t="str"/>
      <x:c r="O33" s="58" t="str"/>
      <x:c r="P33" s="58" t="str">
        <x:v>미확정</x:v>
      </x:c>
      <x:c r="Q33" s="58" t="str"/>
    </x:row>
    <x:row r="34">
      <x:c r="A34" s="58" t="str"/>
      <x:c r="B34" s="58" t="str"/>
      <x:c r="C34" s="58" t="str"/>
      <x:c r="D34" s="58" t="str"/>
      <x:c r="E34" s="58" t="str"/>
      <x:c r="F34" s="69" t="str"/>
      <x:c r="G34" s="70"/>
      <x:c r="H34" s="58" t="str"/>
      <x:c r="I34" s="66" t="str">
        <x:f>IF(A34="","",MAX(0,G34+L34+IF(K34="Y",G34,0)-IF(J34="취소",G34,0)))</x:f>
      </x:c>
      <x:c r="J34" s="58" t="str"/>
      <x:c r="K34" s="58" t="str"/>
      <x:c r="L34" s="70"/>
      <x:c r="M34" s="66" t="n">
        <x:f>IF(P34="확정",I34,0)</x:f>
        <x:v>0</x:v>
      </x:c>
      <x:c r="N34" s="58" t="str"/>
      <x:c r="O34" s="58" t="str"/>
      <x:c r="P34" s="58" t="str">
        <x:v>미확정</x:v>
      </x:c>
      <x:c r="Q34" s="58" t="str"/>
    </x:row>
    <x:row r="35">
      <x:c r="A35" s="58" t="str"/>
      <x:c r="B35" s="58" t="str"/>
      <x:c r="C35" s="58" t="str"/>
      <x:c r="D35" s="58" t="str"/>
      <x:c r="E35" s="58" t="str"/>
      <x:c r="F35" s="69" t="str"/>
      <x:c r="G35" s="70"/>
      <x:c r="H35" s="58" t="str"/>
      <x:c r="I35" s="66" t="str">
        <x:f>IF(A35="","",MAX(0,G35+L35+IF(K35="Y",G35,0)-IF(J35="취소",G35,0)))</x:f>
      </x:c>
      <x:c r="J35" s="58" t="str"/>
      <x:c r="K35" s="58" t="str"/>
      <x:c r="L35" s="70"/>
      <x:c r="M35" s="66" t="n">
        <x:f>IF(P35="확정",I35,0)</x:f>
        <x:v>0</x:v>
      </x:c>
      <x:c r="N35" s="58" t="str"/>
      <x:c r="O35" s="58" t="str"/>
      <x:c r="P35" s="58" t="str">
        <x:v>미확정</x:v>
      </x:c>
      <x:c r="Q35" s="58" t="str"/>
    </x:row>
    <x:row r="36">
      <x:c r="A36" s="58" t="str"/>
      <x:c r="B36" s="58" t="str"/>
      <x:c r="C36" s="58" t="str"/>
      <x:c r="D36" s="58" t="str"/>
      <x:c r="E36" s="58" t="str"/>
      <x:c r="F36" s="69" t="str"/>
      <x:c r="G36" s="70"/>
      <x:c r="H36" s="58" t="str"/>
      <x:c r="I36" s="66" t="str">
        <x:f>IF(A36="","",MAX(0,G36+L36+IF(K36="Y",G36,0)-IF(J36="취소",G36,0)))</x:f>
      </x:c>
      <x:c r="J36" s="58" t="str"/>
      <x:c r="K36" s="58" t="str"/>
      <x:c r="L36" s="70"/>
      <x:c r="M36" s="66" t="n">
        <x:f>IF(P36="확정",I36,0)</x:f>
        <x:v>0</x:v>
      </x:c>
      <x:c r="N36" s="58" t="str"/>
      <x:c r="O36" s="58" t="str"/>
      <x:c r="P36" s="58" t="str">
        <x:v>미확정</x:v>
      </x:c>
      <x:c r="Q36" s="58" t="str"/>
    </x:row>
    <x:row r="37">
      <x:c r="A37" s="58" t="str"/>
      <x:c r="B37" s="58" t="str"/>
      <x:c r="C37" s="58" t="str"/>
      <x:c r="D37" s="58" t="str"/>
      <x:c r="E37" s="58" t="str"/>
      <x:c r="F37" s="69" t="str"/>
      <x:c r="G37" s="70"/>
      <x:c r="H37" s="58" t="str"/>
      <x:c r="I37" s="66" t="str">
        <x:f>IF(A37="","",MAX(0,G37+L37+IF(K37="Y",G37,0)-IF(J37="취소",G37,0)))</x:f>
      </x:c>
      <x:c r="J37" s="58" t="str"/>
      <x:c r="K37" s="58" t="str"/>
      <x:c r="L37" s="70"/>
      <x:c r="M37" s="66" t="n">
        <x:f>IF(P37="확정",I37,0)</x:f>
        <x:v>0</x:v>
      </x:c>
      <x:c r="N37" s="58" t="str"/>
      <x:c r="O37" s="58" t="str"/>
      <x:c r="P37" s="58" t="str">
        <x:v>미확정</x:v>
      </x:c>
      <x:c r="Q37" s="58" t="str"/>
    </x:row>
    <x:row r="38">
      <x:c r="A38" s="58" t="str"/>
      <x:c r="B38" s="58" t="str"/>
      <x:c r="C38" s="58" t="str"/>
      <x:c r="D38" s="58" t="str"/>
      <x:c r="E38" s="58" t="str"/>
      <x:c r="F38" s="69" t="str"/>
      <x:c r="G38" s="70"/>
      <x:c r="H38" s="58" t="str"/>
      <x:c r="I38" s="66" t="str">
        <x:f>IF(A38="","",MAX(0,G38+L38+IF(K38="Y",G38,0)-IF(J38="취소",G38,0)))</x:f>
      </x:c>
      <x:c r="J38" s="58" t="str"/>
      <x:c r="K38" s="58" t="str"/>
      <x:c r="L38" s="70"/>
      <x:c r="M38" s="66" t="n">
        <x:f>IF(P38="확정",I38,0)</x:f>
        <x:v>0</x:v>
      </x:c>
      <x:c r="N38" s="58" t="str"/>
      <x:c r="O38" s="58" t="str"/>
      <x:c r="P38" s="58" t="str">
        <x:v>미확정</x:v>
      </x:c>
      <x:c r="Q38" s="58" t="str"/>
    </x:row>
    <x:row r="39">
      <x:c r="A39" s="58" t="str"/>
      <x:c r="B39" s="58" t="str"/>
      <x:c r="C39" s="58" t="str"/>
      <x:c r="D39" s="58" t="str"/>
      <x:c r="E39" s="58" t="str"/>
      <x:c r="F39" s="69" t="str"/>
      <x:c r="G39" s="70"/>
      <x:c r="H39" s="58" t="str"/>
      <x:c r="I39" s="66" t="str">
        <x:f>IF(A39="","",MAX(0,G39+L39+IF(K39="Y",G39,0)-IF(J39="취소",G39,0)))</x:f>
      </x:c>
      <x:c r="J39" s="58" t="str"/>
      <x:c r="K39" s="58" t="str"/>
      <x:c r="L39" s="70"/>
      <x:c r="M39" s="66" t="n">
        <x:f>IF(P39="확정",I39,0)</x:f>
        <x:v>0</x:v>
      </x:c>
      <x:c r="N39" s="58" t="str"/>
      <x:c r="O39" s="58" t="str"/>
      <x:c r="P39" s="58" t="str">
        <x:v>미확정</x:v>
      </x:c>
      <x:c r="Q39" s="58" t="str"/>
    </x:row>
    <x:row r="40">
      <x:c r="A40" s="58" t="str"/>
      <x:c r="B40" s="58" t="str"/>
      <x:c r="C40" s="58" t="str"/>
      <x:c r="D40" s="58" t="str"/>
      <x:c r="E40" s="58" t="str"/>
      <x:c r="F40" s="69" t="str"/>
      <x:c r="G40" s="70"/>
      <x:c r="H40" s="58" t="str"/>
      <x:c r="I40" s="66" t="str">
        <x:f>IF(A40="","",MAX(0,G40+L40+IF(K40="Y",G40,0)-IF(J40="취소",G40,0)))</x:f>
      </x:c>
      <x:c r="J40" s="58" t="str"/>
      <x:c r="K40" s="58" t="str"/>
      <x:c r="L40" s="70"/>
      <x:c r="M40" s="66" t="n">
        <x:f>IF(P40="확정",I40,0)</x:f>
        <x:v>0</x:v>
      </x:c>
      <x:c r="N40" s="58" t="str"/>
      <x:c r="O40" s="58" t="str"/>
      <x:c r="P40" s="58" t="str">
        <x:v>미확정</x:v>
      </x:c>
      <x:c r="Q40" s="58" t="str"/>
    </x:row>
    <x:row r="41">
      <x:c r="A41" s="58" t="str"/>
      <x:c r="B41" s="58" t="str"/>
      <x:c r="C41" s="58" t="str"/>
      <x:c r="D41" s="58" t="str"/>
      <x:c r="E41" s="58" t="str"/>
      <x:c r="F41" s="69" t="str"/>
      <x:c r="G41" s="70"/>
      <x:c r="H41" s="58" t="str"/>
      <x:c r="I41" s="66" t="str">
        <x:f>IF(A41="","",MAX(0,G41+L41+IF(K41="Y",G41,0)-IF(J41="취소",G41,0)))</x:f>
      </x:c>
      <x:c r="J41" s="58" t="str"/>
      <x:c r="K41" s="58" t="str"/>
      <x:c r="L41" s="70"/>
      <x:c r="M41" s="66" t="n">
        <x:f>IF(P41="확정",I41,0)</x:f>
        <x:v>0</x:v>
      </x:c>
      <x:c r="N41" s="58" t="str"/>
      <x:c r="O41" s="58" t="str"/>
      <x:c r="P41" s="58" t="str">
        <x:v>미확정</x:v>
      </x:c>
      <x:c r="Q41" s="58" t="str"/>
    </x:row>
    <x:row r="42">
      <x:c r="A42" s="58" t="str"/>
      <x:c r="B42" s="58" t="str"/>
      <x:c r="C42" s="58" t="str"/>
      <x:c r="D42" s="58" t="str"/>
      <x:c r="E42" s="58" t="str"/>
      <x:c r="F42" s="69" t="str"/>
      <x:c r="G42" s="70"/>
      <x:c r="H42" s="58" t="str"/>
      <x:c r="I42" s="66" t="str">
        <x:f>IF(A42="","",MAX(0,G42+L42+IF(K42="Y",G42,0)-IF(J42="취소",G42,0)))</x:f>
      </x:c>
      <x:c r="J42" s="58" t="str"/>
      <x:c r="K42" s="58" t="str"/>
      <x:c r="L42" s="70"/>
      <x:c r="M42" s="66" t="n">
        <x:f>IF(P42="확정",I42,0)</x:f>
        <x:v>0</x:v>
      </x:c>
      <x:c r="N42" s="58" t="str"/>
      <x:c r="O42" s="58" t="str"/>
      <x:c r="P42" s="58" t="str">
        <x:v>미확정</x:v>
      </x:c>
      <x:c r="Q42" s="58" t="str"/>
    </x:row>
    <x:row r="43">
      <x:c r="A43" s="58" t="str"/>
      <x:c r="B43" s="58" t="str"/>
      <x:c r="C43" s="58" t="str"/>
      <x:c r="D43" s="58" t="str"/>
      <x:c r="E43" s="58" t="str"/>
      <x:c r="F43" s="69" t="str"/>
      <x:c r="G43" s="70"/>
      <x:c r="H43" s="58" t="str"/>
      <x:c r="I43" s="66" t="str">
        <x:f>IF(A43="","",MAX(0,G43+L43+IF(K43="Y",G43,0)-IF(J43="취소",G43,0)))</x:f>
      </x:c>
      <x:c r="J43" s="58" t="str"/>
      <x:c r="K43" s="58" t="str"/>
      <x:c r="L43" s="70"/>
      <x:c r="M43" s="66" t="n">
        <x:f>IF(P43="확정",I43,0)</x:f>
        <x:v>0</x:v>
      </x:c>
      <x:c r="N43" s="58" t="str"/>
      <x:c r="O43" s="58" t="str"/>
      <x:c r="P43" s="58" t="str">
        <x:v>미확정</x:v>
      </x:c>
      <x:c r="Q43" s="58" t="str"/>
    </x:row>
    <x:row r="44">
      <x:c r="A44" s="58" t="str"/>
      <x:c r="B44" s="58" t="str"/>
      <x:c r="C44" s="58" t="str"/>
      <x:c r="D44" s="58" t="str"/>
      <x:c r="E44" s="58" t="str"/>
      <x:c r="F44" s="69" t="str"/>
      <x:c r="G44" s="70"/>
      <x:c r="H44" s="58" t="str"/>
      <x:c r="I44" s="66" t="str">
        <x:f>IF(A44="","",MAX(0,G44+L44+IF(K44="Y",G44,0)-IF(J44="취소",G44,0)))</x:f>
      </x:c>
      <x:c r="J44" s="58" t="str"/>
      <x:c r="K44" s="58" t="str"/>
      <x:c r="L44" s="70"/>
      <x:c r="M44" s="66" t="n">
        <x:f>IF(P44="확정",I44,0)</x:f>
        <x:v>0</x:v>
      </x:c>
      <x:c r="N44" s="58" t="str"/>
      <x:c r="O44" s="58" t="str"/>
      <x:c r="P44" s="58" t="str">
        <x:v>미확정</x:v>
      </x:c>
      <x:c r="Q44" s="58" t="str"/>
    </x:row>
    <x:row r="45">
      <x:c r="A45" s="58" t="str"/>
      <x:c r="B45" s="58" t="str"/>
      <x:c r="C45" s="58" t="str"/>
      <x:c r="D45" s="58" t="str"/>
      <x:c r="E45" s="58" t="str"/>
      <x:c r="F45" s="69" t="str"/>
      <x:c r="G45" s="70"/>
      <x:c r="H45" s="58" t="str"/>
      <x:c r="I45" s="66" t="str">
        <x:f>IF(A45="","",MAX(0,G45+L45+IF(K45="Y",G45,0)-IF(J45="취소",G45,0)))</x:f>
      </x:c>
      <x:c r="J45" s="58" t="str"/>
      <x:c r="K45" s="58" t="str"/>
      <x:c r="L45" s="70"/>
      <x:c r="M45" s="66" t="n">
        <x:f>IF(P45="확정",I45,0)</x:f>
        <x:v>0</x:v>
      </x:c>
      <x:c r="N45" s="58" t="str"/>
      <x:c r="O45" s="58" t="str"/>
      <x:c r="P45" s="58" t="str">
        <x:v>미확정</x:v>
      </x:c>
      <x:c r="Q45" s="58" t="str"/>
    </x:row>
    <x:row r="46">
      <x:c r="A46" s="58" t="str"/>
      <x:c r="B46" s="58" t="str"/>
      <x:c r="C46" s="58" t="str"/>
      <x:c r="D46" s="58" t="str"/>
      <x:c r="E46" s="58" t="str"/>
      <x:c r="F46" s="69" t="str"/>
      <x:c r="G46" s="70"/>
      <x:c r="H46" s="58" t="str"/>
      <x:c r="I46" s="66" t="str">
        <x:f>IF(A46="","",MAX(0,G46+L46+IF(K46="Y",G46,0)-IF(J46="취소",G46,0)))</x:f>
      </x:c>
      <x:c r="J46" s="58" t="str"/>
      <x:c r="K46" s="58" t="str"/>
      <x:c r="L46" s="70"/>
      <x:c r="M46" s="66" t="n">
        <x:f>IF(P46="확정",I46,0)</x:f>
        <x:v>0</x:v>
      </x:c>
      <x:c r="N46" s="58" t="str"/>
      <x:c r="O46" s="58" t="str"/>
      <x:c r="P46" s="58" t="str">
        <x:v>미확정</x:v>
      </x:c>
      <x:c r="Q46" s="58" t="str"/>
    </x:row>
    <x:row r="47">
      <x:c r="A47" s="58" t="str"/>
      <x:c r="B47" s="58" t="str"/>
      <x:c r="C47" s="58" t="str"/>
      <x:c r="D47" s="58" t="str"/>
      <x:c r="E47" s="58" t="str"/>
      <x:c r="F47" s="69" t="str"/>
      <x:c r="G47" s="70"/>
      <x:c r="H47" s="58" t="str"/>
      <x:c r="I47" s="66" t="str">
        <x:f>IF(A47="","",MAX(0,G47+L47+IF(K47="Y",G47,0)-IF(J47="취소",G47,0)))</x:f>
      </x:c>
      <x:c r="J47" s="58" t="str"/>
      <x:c r="K47" s="58" t="str"/>
      <x:c r="L47" s="70"/>
      <x:c r="M47" s="66" t="n">
        <x:f>IF(P47="확정",I47,0)</x:f>
        <x:v>0</x:v>
      </x:c>
      <x:c r="N47" s="58" t="str"/>
      <x:c r="O47" s="58" t="str"/>
      <x:c r="P47" s="58" t="str">
        <x:v>미확정</x:v>
      </x:c>
      <x:c r="Q47" s="58" t="str"/>
    </x:row>
    <x:row r="48">
      <x:c r="A48" s="58" t="str"/>
      <x:c r="B48" s="58" t="str"/>
      <x:c r="C48" s="58" t="str"/>
      <x:c r="D48" s="58" t="str"/>
      <x:c r="E48" s="58" t="str"/>
      <x:c r="F48" s="69" t="str"/>
      <x:c r="G48" s="70"/>
      <x:c r="H48" s="58" t="str"/>
      <x:c r="I48" s="66" t="str">
        <x:f>IF(A48="","",MAX(0,G48+L48+IF(K48="Y",G48,0)-IF(J48="취소",G48,0)))</x:f>
      </x:c>
      <x:c r="J48" s="58" t="str"/>
      <x:c r="K48" s="58" t="str"/>
      <x:c r="L48" s="70"/>
      <x:c r="M48" s="66" t="n">
        <x:f>IF(P48="확정",I48,0)</x:f>
        <x:v>0</x:v>
      </x:c>
      <x:c r="N48" s="58" t="str"/>
      <x:c r="O48" s="58" t="str"/>
      <x:c r="P48" s="58" t="str">
        <x:v>미확정</x:v>
      </x:c>
      <x:c r="Q48" s="58" t="str"/>
    </x:row>
    <x:row r="49">
      <x:c r="A49" s="58" t="str"/>
      <x:c r="B49" s="58" t="str"/>
      <x:c r="C49" s="58" t="str"/>
      <x:c r="D49" s="58" t="str"/>
      <x:c r="E49" s="58" t="str"/>
      <x:c r="F49" s="69" t="str"/>
      <x:c r="G49" s="70"/>
      <x:c r="H49" s="58" t="str"/>
      <x:c r="I49" s="66" t="str">
        <x:f>IF(A49="","",MAX(0,G49+L49+IF(K49="Y",G49,0)-IF(J49="취소",G49,0)))</x:f>
      </x:c>
      <x:c r="J49" s="58" t="str"/>
      <x:c r="K49" s="58" t="str"/>
      <x:c r="L49" s="70"/>
      <x:c r="M49" s="66" t="n">
        <x:f>IF(P49="확정",I49,0)</x:f>
        <x:v>0</x:v>
      </x:c>
      <x:c r="N49" s="58" t="str"/>
      <x:c r="O49" s="58" t="str"/>
      <x:c r="P49" s="58" t="str">
        <x:v>미확정</x:v>
      </x:c>
      <x:c r="Q49" s="58" t="str"/>
    </x:row>
    <x:row r="50">
      <x:c r="A50" s="58" t="str"/>
      <x:c r="B50" s="58" t="str"/>
      <x:c r="C50" s="58" t="str"/>
      <x:c r="D50" s="58" t="str"/>
      <x:c r="E50" s="58" t="str"/>
      <x:c r="F50" s="69" t="str"/>
      <x:c r="G50" s="70"/>
      <x:c r="H50" s="58" t="str"/>
      <x:c r="I50" s="66" t="str">
        <x:f>IF(A50="","",MAX(0,G50+L50+IF(K50="Y",G50,0)-IF(J50="취소",G50,0)))</x:f>
      </x:c>
      <x:c r="J50" s="58" t="str"/>
      <x:c r="K50" s="58" t="str"/>
      <x:c r="L50" s="70"/>
      <x:c r="M50" s="66" t="n">
        <x:f>IF(P50="확정",I50,0)</x:f>
        <x:v>0</x:v>
      </x:c>
      <x:c r="N50" s="58" t="str"/>
      <x:c r="O50" s="58" t="str"/>
      <x:c r="P50" s="58" t="str">
        <x:v>미확정</x:v>
      </x:c>
      <x:c r="Q50" s="58" t="str"/>
    </x:row>
    <x:row r="51">
      <x:c r="A51" s="58" t="str"/>
      <x:c r="B51" s="58" t="str"/>
      <x:c r="C51" s="58" t="str"/>
      <x:c r="D51" s="58" t="str"/>
      <x:c r="E51" s="58" t="str"/>
      <x:c r="F51" s="69" t="str"/>
      <x:c r="G51" s="70"/>
      <x:c r="H51" s="58" t="str"/>
      <x:c r="I51" s="66" t="str">
        <x:f>IF(A51="","",MAX(0,G51+L51+IF(K51="Y",G51,0)-IF(J51="취소",G51,0)))</x:f>
      </x:c>
      <x:c r="J51" s="58" t="str"/>
      <x:c r="K51" s="58" t="str"/>
      <x:c r="L51" s="70"/>
      <x:c r="M51" s="66" t="n">
        <x:f>IF(P51="확정",I51,0)</x:f>
        <x:v>0</x:v>
      </x:c>
      <x:c r="N51" s="58" t="str"/>
      <x:c r="O51" s="58" t="str"/>
      <x:c r="P51" s="58" t="str">
        <x:v>미확정</x:v>
      </x:c>
      <x:c r="Q51" s="58" t="str"/>
    </x:row>
    <x:row r="52">
      <x:c r="A52" s="58" t="str"/>
      <x:c r="B52" s="58" t="str"/>
      <x:c r="C52" s="58" t="str"/>
      <x:c r="D52" s="58" t="str"/>
      <x:c r="E52" s="58" t="str"/>
      <x:c r="F52" s="69" t="str"/>
      <x:c r="G52" s="70"/>
      <x:c r="H52" s="58" t="str"/>
      <x:c r="I52" s="66" t="str">
        <x:f>IF(A52="","",MAX(0,G52+L52+IF(K52="Y",G52,0)-IF(J52="취소",G52,0)))</x:f>
      </x:c>
      <x:c r="J52" s="58" t="str"/>
      <x:c r="K52" s="58" t="str"/>
      <x:c r="L52" s="70"/>
      <x:c r="M52" s="66" t="n">
        <x:f>IF(P52="확정",I52,0)</x:f>
        <x:v>0</x:v>
      </x:c>
      <x:c r="N52" s="58" t="str"/>
      <x:c r="O52" s="58" t="str"/>
      <x:c r="P52" s="58" t="str">
        <x:v>미확정</x:v>
      </x:c>
      <x:c r="Q52" s="58" t="str"/>
    </x:row>
    <x:row r="53">
      <x:c r="A53" s="58" t="str"/>
      <x:c r="B53" s="58" t="str"/>
      <x:c r="C53" s="58" t="str"/>
      <x:c r="D53" s="58" t="str"/>
      <x:c r="E53" s="58" t="str"/>
      <x:c r="F53" s="69" t="str"/>
      <x:c r="G53" s="70"/>
      <x:c r="H53" s="58" t="str"/>
      <x:c r="I53" s="66" t="str">
        <x:f>IF(A53="","",MAX(0,G53+L53+IF(K53="Y",G53,0)-IF(J53="취소",G53,0)))</x:f>
      </x:c>
      <x:c r="J53" s="58" t="str"/>
      <x:c r="K53" s="58" t="str"/>
      <x:c r="L53" s="70"/>
      <x:c r="M53" s="66" t="n">
        <x:f>IF(P53="확정",I53,0)</x:f>
        <x:v>0</x:v>
      </x:c>
      <x:c r="N53" s="58" t="str"/>
      <x:c r="O53" s="58" t="str"/>
      <x:c r="P53" s="58" t="str">
        <x:v>미확정</x:v>
      </x:c>
      <x:c r="Q53" s="58" t="str"/>
    </x:row>
    <x:row r="54">
      <x:c r="A54" s="58" t="str"/>
      <x:c r="B54" s="58" t="str"/>
      <x:c r="C54" s="58" t="str"/>
      <x:c r="D54" s="58" t="str"/>
      <x:c r="E54" s="58" t="str"/>
      <x:c r="F54" s="69" t="str"/>
      <x:c r="G54" s="70"/>
      <x:c r="H54" s="58" t="str"/>
      <x:c r="I54" s="66" t="str">
        <x:f>IF(A54="","",MAX(0,G54+L54+IF(K54="Y",G54,0)-IF(J54="취소",G54,0)))</x:f>
      </x:c>
      <x:c r="J54" s="58" t="str"/>
      <x:c r="K54" s="58" t="str"/>
      <x:c r="L54" s="70"/>
      <x:c r="M54" s="66" t="n">
        <x:f>IF(P54="확정",I54,0)</x:f>
        <x:v>0</x:v>
      </x:c>
      <x:c r="N54" s="58" t="str"/>
      <x:c r="O54" s="58" t="str"/>
      <x:c r="P54" s="58" t="str">
        <x:v>미확정</x:v>
      </x:c>
      <x:c r="Q54" s="58" t="str"/>
    </x:row>
    <x:row r="55">
      <x:c r="A55" s="58" t="str"/>
      <x:c r="B55" s="58" t="str"/>
      <x:c r="C55" s="58" t="str"/>
      <x:c r="D55" s="58" t="str"/>
      <x:c r="E55" s="58" t="str"/>
      <x:c r="F55" s="69" t="str"/>
      <x:c r="G55" s="70"/>
      <x:c r="H55" s="58" t="str"/>
      <x:c r="I55" s="66" t="str">
        <x:f>IF(A55="","",MAX(0,G55+L55+IF(K55="Y",G55,0)-IF(J55="취소",G55,0)))</x:f>
      </x:c>
      <x:c r="J55" s="58" t="str"/>
      <x:c r="K55" s="58" t="str"/>
      <x:c r="L55" s="70"/>
      <x:c r="M55" s="66" t="n">
        <x:f>IF(P55="확정",I55,0)</x:f>
        <x:v>0</x:v>
      </x:c>
      <x:c r="N55" s="58" t="str"/>
      <x:c r="O55" s="58" t="str"/>
      <x:c r="P55" s="58" t="str">
        <x:v>미확정</x:v>
      </x:c>
      <x:c r="Q55" s="58" t="str"/>
    </x:row>
    <x:row r="56">
      <x:c r="A56" s="58" t="str"/>
      <x:c r="B56" s="58" t="str"/>
      <x:c r="C56" s="58" t="str"/>
      <x:c r="D56" s="58" t="str"/>
      <x:c r="E56" s="58" t="str"/>
      <x:c r="F56" s="69" t="str"/>
      <x:c r="G56" s="70"/>
      <x:c r="H56" s="58" t="str"/>
      <x:c r="I56" s="66" t="str">
        <x:f>IF(A56="","",MAX(0,G56+L56+IF(K56="Y",G56,0)-IF(J56="취소",G56,0)))</x:f>
      </x:c>
      <x:c r="J56" s="58" t="str"/>
      <x:c r="K56" s="58" t="str"/>
      <x:c r="L56" s="70"/>
      <x:c r="M56" s="66" t="n">
        <x:f>IF(P56="확정",I56,0)</x:f>
        <x:v>0</x:v>
      </x:c>
      <x:c r="N56" s="58" t="str"/>
      <x:c r="O56" s="58" t="str"/>
      <x:c r="P56" s="58" t="str">
        <x:v>미확정</x:v>
      </x:c>
      <x:c r="Q56" s="58" t="str"/>
    </x:row>
    <x:row r="57">
      <x:c r="A57" s="58" t="str"/>
      <x:c r="B57" s="58" t="str"/>
      <x:c r="C57" s="58" t="str"/>
      <x:c r="D57" s="58" t="str"/>
      <x:c r="E57" s="58" t="str"/>
      <x:c r="F57" s="69" t="str"/>
      <x:c r="G57" s="70"/>
      <x:c r="H57" s="58" t="str"/>
      <x:c r="I57" s="66" t="str">
        <x:f>IF(A57="","",MAX(0,G57+L57+IF(K57="Y",G57,0)-IF(J57="취소",G57,0)))</x:f>
      </x:c>
      <x:c r="J57" s="58" t="str"/>
      <x:c r="K57" s="58" t="str"/>
      <x:c r="L57" s="70"/>
      <x:c r="M57" s="66" t="n">
        <x:f>IF(P57="확정",I57,0)</x:f>
        <x:v>0</x:v>
      </x:c>
      <x:c r="N57" s="58" t="str"/>
      <x:c r="O57" s="58" t="str"/>
      <x:c r="P57" s="58" t="str">
        <x:v>미확정</x:v>
      </x:c>
      <x:c r="Q57" s="58" t="str"/>
    </x:row>
    <x:row r="58">
      <x:c r="A58" s="58" t="str"/>
      <x:c r="B58" s="58" t="str"/>
      <x:c r="C58" s="58" t="str"/>
      <x:c r="D58" s="58" t="str"/>
      <x:c r="E58" s="58" t="str"/>
      <x:c r="F58" s="69" t="str"/>
      <x:c r="G58" s="70"/>
      <x:c r="H58" s="58" t="str"/>
      <x:c r="I58" s="66" t="str">
        <x:f>IF(A58="","",MAX(0,G58+L58+IF(K58="Y",G58,0)-IF(J58="취소",G58,0)))</x:f>
      </x:c>
      <x:c r="J58" s="58" t="str"/>
      <x:c r="K58" s="58" t="str"/>
      <x:c r="L58" s="70"/>
      <x:c r="M58" s="66" t="n">
        <x:f>IF(P58="확정",I58,0)</x:f>
        <x:v>0</x:v>
      </x:c>
      <x:c r="N58" s="58" t="str"/>
      <x:c r="O58" s="58" t="str"/>
      <x:c r="P58" s="58" t="str">
        <x:v>미확정</x:v>
      </x:c>
      <x:c r="Q58" s="58" t="str"/>
    </x:row>
    <x:row r="59">
      <x:c r="A59" s="58" t="str"/>
      <x:c r="B59" s="58" t="str"/>
      <x:c r="C59" s="58" t="str"/>
      <x:c r="D59" s="58" t="str"/>
      <x:c r="E59" s="58" t="str"/>
      <x:c r="F59" s="69" t="str"/>
      <x:c r="G59" s="70"/>
      <x:c r="H59" s="58" t="str"/>
      <x:c r="I59" s="66" t="str">
        <x:f>IF(A59="","",MAX(0,G59+L59+IF(K59="Y",G59,0)-IF(J59="취소",G59,0)))</x:f>
      </x:c>
      <x:c r="J59" s="58" t="str"/>
      <x:c r="K59" s="58" t="str"/>
      <x:c r="L59" s="70"/>
      <x:c r="M59" s="66" t="n">
        <x:f>IF(P59="확정",I59,0)</x:f>
        <x:v>0</x:v>
      </x:c>
      <x:c r="N59" s="58" t="str"/>
      <x:c r="O59" s="58" t="str"/>
      <x:c r="P59" s="58" t="str">
        <x:v>미확정</x:v>
      </x:c>
      <x:c r="Q59" s="58" t="str"/>
    </x:row>
    <x:row r="60">
      <x:c r="A60" s="58" t="str"/>
      <x:c r="B60" s="58" t="str"/>
      <x:c r="C60" s="58" t="str"/>
      <x:c r="D60" s="58" t="str"/>
      <x:c r="E60" s="58" t="str"/>
      <x:c r="F60" s="69" t="str"/>
      <x:c r="G60" s="70"/>
      <x:c r="H60" s="58" t="str"/>
      <x:c r="I60" s="66" t="str">
        <x:f>IF(A60="","",MAX(0,G60+L60+IF(K60="Y",G60,0)-IF(J60="취소",G60,0)))</x:f>
      </x:c>
      <x:c r="J60" s="58" t="str"/>
      <x:c r="K60" s="58" t="str"/>
      <x:c r="L60" s="70"/>
      <x:c r="M60" s="66" t="n">
        <x:f>IF(P60="확정",I60,0)</x:f>
        <x:v>0</x:v>
      </x:c>
      <x:c r="N60" s="58" t="str"/>
      <x:c r="O60" s="58" t="str"/>
      <x:c r="P60" s="58" t="str">
        <x:v>미확정</x:v>
      </x:c>
      <x:c r="Q60" s="58" t="str"/>
    </x:row>
    <x:row r="61">
      <x:c r="A61" s="58" t="str"/>
      <x:c r="B61" s="58" t="str"/>
      <x:c r="C61" s="58" t="str"/>
      <x:c r="D61" s="58" t="str"/>
      <x:c r="E61" s="58" t="str"/>
      <x:c r="F61" s="69" t="str"/>
      <x:c r="G61" s="70"/>
      <x:c r="H61" s="58" t="str"/>
      <x:c r="I61" s="66" t="str">
        <x:f>IF(A61="","",MAX(0,G61+L61+IF(K61="Y",G61,0)-IF(J61="취소",G61,0)))</x:f>
      </x:c>
      <x:c r="J61" s="58" t="str"/>
      <x:c r="K61" s="58" t="str"/>
      <x:c r="L61" s="70"/>
      <x:c r="M61" s="66" t="n">
        <x:f>IF(P61="확정",I61,0)</x:f>
        <x:v>0</x:v>
      </x:c>
      <x:c r="N61" s="58" t="str"/>
      <x:c r="O61" s="58" t="str"/>
      <x:c r="P61" s="58" t="str">
        <x:v>미확정</x:v>
      </x:c>
      <x:c r="Q61" s="58" t="str"/>
    </x:row>
    <x:row r="62">
      <x:c r="A62" s="58" t="str"/>
      <x:c r="B62" s="58" t="str"/>
      <x:c r="C62" s="58" t="str"/>
      <x:c r="D62" s="58" t="str"/>
      <x:c r="E62" s="58" t="str"/>
      <x:c r="F62" s="69" t="str"/>
      <x:c r="G62" s="70"/>
      <x:c r="H62" s="58" t="str"/>
      <x:c r="I62" s="66" t="str">
        <x:f>IF(A62="","",MAX(0,G62+L62+IF(K62="Y",G62,0)-IF(J62="취소",G62,0)))</x:f>
      </x:c>
      <x:c r="J62" s="58" t="str"/>
      <x:c r="K62" s="58" t="str"/>
      <x:c r="L62" s="70"/>
      <x:c r="M62" s="66" t="n">
        <x:f>IF(P62="확정",I62,0)</x:f>
        <x:v>0</x:v>
      </x:c>
      <x:c r="N62" s="58" t="str"/>
      <x:c r="O62" s="58" t="str"/>
      <x:c r="P62" s="58" t="str">
        <x:v>미확정</x:v>
      </x:c>
      <x:c r="Q62" s="58" t="str"/>
    </x:row>
    <x:row r="63">
      <x:c r="A63" s="58" t="str"/>
      <x:c r="B63" s="58" t="str"/>
      <x:c r="C63" s="58" t="str"/>
      <x:c r="D63" s="58" t="str"/>
      <x:c r="E63" s="58" t="str"/>
      <x:c r="F63" s="69" t="str"/>
      <x:c r="G63" s="70"/>
      <x:c r="H63" s="58" t="str"/>
      <x:c r="I63" s="66" t="str">
        <x:f>IF(A63="","",MAX(0,G63+L63+IF(K63="Y",G63,0)-IF(J63="취소",G63,0)))</x:f>
      </x:c>
      <x:c r="J63" s="58" t="str"/>
      <x:c r="K63" s="58" t="str"/>
      <x:c r="L63" s="70"/>
      <x:c r="M63" s="66" t="n">
        <x:f>IF(P63="확정",I63,0)</x:f>
        <x:v>0</x:v>
      </x:c>
      <x:c r="N63" s="58" t="str"/>
      <x:c r="O63" s="58" t="str"/>
      <x:c r="P63" s="58" t="str">
        <x:v>미확정</x:v>
      </x:c>
      <x:c r="Q63" s="58" t="str"/>
    </x:row>
    <x:row r="64">
      <x:c r="A64" s="58" t="str"/>
      <x:c r="B64" s="58" t="str"/>
      <x:c r="C64" s="58" t="str"/>
      <x:c r="D64" s="58" t="str"/>
      <x:c r="E64" s="58" t="str"/>
      <x:c r="F64" s="69" t="str"/>
      <x:c r="G64" s="70"/>
      <x:c r="H64" s="58" t="str"/>
      <x:c r="I64" s="66" t="str">
        <x:f>IF(A64="","",MAX(0,G64+L64+IF(K64="Y",G64,0)-IF(J64="취소",G64,0)))</x:f>
      </x:c>
      <x:c r="J64" s="58" t="str"/>
      <x:c r="K64" s="58" t="str"/>
      <x:c r="L64" s="70"/>
      <x:c r="M64" s="66" t="n">
        <x:f>IF(P64="확정",I64,0)</x:f>
        <x:v>0</x:v>
      </x:c>
      <x:c r="N64" s="58" t="str"/>
      <x:c r="O64" s="58" t="str"/>
      <x:c r="P64" s="58" t="str">
        <x:v>미확정</x:v>
      </x:c>
      <x:c r="Q64" s="58" t="str"/>
    </x:row>
    <x:row r="65">
      <x:c r="A65" s="58" t="str"/>
      <x:c r="B65" s="58" t="str"/>
      <x:c r="C65" s="58" t="str"/>
      <x:c r="D65" s="58" t="str"/>
      <x:c r="E65" s="58" t="str"/>
      <x:c r="F65" s="69" t="str"/>
      <x:c r="G65" s="70"/>
      <x:c r="H65" s="58" t="str"/>
      <x:c r="I65" s="66" t="str">
        <x:f>IF(A65="","",MAX(0,G65+L65+IF(K65="Y",G65,0)-IF(J65="취소",G65,0)))</x:f>
      </x:c>
      <x:c r="J65" s="58" t="str"/>
      <x:c r="K65" s="58" t="str"/>
      <x:c r="L65" s="70"/>
      <x:c r="M65" s="66" t="n">
        <x:f>IF(P65="확정",I65,0)</x:f>
        <x:v>0</x:v>
      </x:c>
      <x:c r="N65" s="58" t="str"/>
      <x:c r="O65" s="58" t="str"/>
      <x:c r="P65" s="58" t="str">
        <x:v>미확정</x:v>
      </x:c>
      <x:c r="Q65" s="58" t="str"/>
    </x:row>
    <x:row r="66">
      <x:c r="A66" s="58" t="str"/>
      <x:c r="B66" s="58" t="str"/>
      <x:c r="C66" s="58" t="str"/>
      <x:c r="D66" s="58" t="str"/>
      <x:c r="E66" s="58" t="str"/>
      <x:c r="F66" s="69" t="str"/>
      <x:c r="G66" s="70"/>
      <x:c r="H66" s="58" t="str"/>
      <x:c r="I66" s="66" t="str">
        <x:f>IF(A66="","",MAX(0,G66+L66+IF(K66="Y",G66,0)-IF(J66="취소",G66,0)))</x:f>
      </x:c>
      <x:c r="J66" s="58" t="str"/>
      <x:c r="K66" s="58" t="str"/>
      <x:c r="L66" s="70"/>
      <x:c r="M66" s="66" t="n">
        <x:f>IF(P66="확정",I66,0)</x:f>
        <x:v>0</x:v>
      </x:c>
      <x:c r="N66" s="58" t="str"/>
      <x:c r="O66" s="58" t="str"/>
      <x:c r="P66" s="58" t="str">
        <x:v>미확정</x:v>
      </x:c>
      <x:c r="Q66" s="58" t="str"/>
    </x:row>
    <x:row r="67">
      <x:c r="A67" s="58" t="str"/>
      <x:c r="B67" s="58" t="str"/>
      <x:c r="C67" s="58" t="str"/>
      <x:c r="D67" s="58" t="str"/>
      <x:c r="E67" s="58" t="str"/>
      <x:c r="F67" s="69" t="str"/>
      <x:c r="G67" s="70"/>
      <x:c r="H67" s="58" t="str"/>
      <x:c r="I67" s="66" t="str">
        <x:f>IF(A67="","",MAX(0,G67+L67+IF(K67="Y",G67,0)-IF(J67="취소",G67,0)))</x:f>
      </x:c>
      <x:c r="J67" s="58" t="str"/>
      <x:c r="K67" s="58" t="str"/>
      <x:c r="L67" s="70"/>
      <x:c r="M67" s="66" t="n">
        <x:f>IF(P67="확정",I67,0)</x:f>
        <x:v>0</x:v>
      </x:c>
      <x:c r="N67" s="58" t="str"/>
      <x:c r="O67" s="58" t="str"/>
      <x:c r="P67" s="58" t="str">
        <x:v>미확정</x:v>
      </x:c>
      <x:c r="Q67" s="58" t="str"/>
    </x:row>
    <x:row r="68">
      <x:c r="A68" s="58" t="str"/>
      <x:c r="B68" s="58" t="str"/>
      <x:c r="C68" s="58" t="str"/>
      <x:c r="D68" s="58" t="str"/>
      <x:c r="E68" s="58" t="str"/>
      <x:c r="F68" s="69" t="str"/>
      <x:c r="G68" s="70"/>
      <x:c r="H68" s="58" t="str"/>
      <x:c r="I68" s="66" t="str">
        <x:f>IF(A68="","",MAX(0,G68+L68+IF(K68="Y",G68,0)-IF(J68="취소",G68,0)))</x:f>
      </x:c>
      <x:c r="J68" s="58" t="str"/>
      <x:c r="K68" s="58" t="str"/>
      <x:c r="L68" s="70"/>
      <x:c r="M68" s="66" t="n">
        <x:f>IF(P68="확정",I68,0)</x:f>
        <x:v>0</x:v>
      </x:c>
      <x:c r="N68" s="58" t="str"/>
      <x:c r="O68" s="58" t="str"/>
      <x:c r="P68" s="58" t="str">
        <x:v>미확정</x:v>
      </x:c>
      <x:c r="Q68" s="58" t="str"/>
    </x:row>
    <x:row r="69">
      <x:c r="A69" s="58" t="str"/>
      <x:c r="B69" s="58" t="str"/>
      <x:c r="C69" s="58" t="str"/>
      <x:c r="D69" s="58" t="str"/>
      <x:c r="E69" s="58" t="str"/>
      <x:c r="F69" s="69" t="str"/>
      <x:c r="G69" s="70"/>
      <x:c r="H69" s="58" t="str"/>
      <x:c r="I69" s="66" t="str">
        <x:f>IF(A69="","",MAX(0,G69+L69+IF(K69="Y",G69,0)-IF(J69="취소",G69,0)))</x:f>
      </x:c>
      <x:c r="J69" s="58" t="str"/>
      <x:c r="K69" s="58" t="str"/>
      <x:c r="L69" s="70"/>
      <x:c r="M69" s="66" t="n">
        <x:f>IF(P69="확정",I69,0)</x:f>
        <x:v>0</x:v>
      </x:c>
      <x:c r="N69" s="58" t="str"/>
      <x:c r="O69" s="58" t="str"/>
      <x:c r="P69" s="58" t="str">
        <x:v>미확정</x:v>
      </x:c>
      <x:c r="Q69" s="58" t="str"/>
    </x:row>
    <x:row r="70">
      <x:c r="A70" s="58" t="str"/>
      <x:c r="B70" s="58" t="str"/>
      <x:c r="C70" s="58" t="str"/>
      <x:c r="D70" s="58" t="str"/>
      <x:c r="E70" s="58" t="str"/>
      <x:c r="F70" s="69" t="str"/>
      <x:c r="G70" s="70"/>
      <x:c r="H70" s="58" t="str"/>
      <x:c r="I70" s="66" t="str">
        <x:f>IF(A70="","",MAX(0,G70+L70+IF(K70="Y",G70,0)-IF(J70="취소",G70,0)))</x:f>
      </x:c>
      <x:c r="J70" s="58" t="str"/>
      <x:c r="K70" s="58" t="str"/>
      <x:c r="L70" s="70"/>
      <x:c r="M70" s="66" t="n">
        <x:f>IF(P70="확정",I70,0)</x:f>
        <x:v>0</x:v>
      </x:c>
      <x:c r="N70" s="58" t="str"/>
      <x:c r="O70" s="58" t="str"/>
      <x:c r="P70" s="58" t="str">
        <x:v>미확정</x:v>
      </x:c>
      <x:c r="Q70" s="58" t="str"/>
    </x:row>
    <x:row r="71">
      <x:c r="A71" s="58" t="str"/>
      <x:c r="B71" s="58" t="str"/>
      <x:c r="C71" s="58" t="str"/>
      <x:c r="D71" s="58" t="str"/>
      <x:c r="E71" s="58" t="str"/>
      <x:c r="F71" s="69" t="str"/>
      <x:c r="G71" s="70"/>
      <x:c r="H71" s="58" t="str"/>
      <x:c r="I71" s="66" t="str">
        <x:f>IF(A71="","",MAX(0,G71+L71+IF(K71="Y",G71,0)-IF(J71="취소",G71,0)))</x:f>
      </x:c>
      <x:c r="J71" s="58" t="str"/>
      <x:c r="K71" s="58" t="str"/>
      <x:c r="L71" s="70"/>
      <x:c r="M71" s="66" t="n">
        <x:f>IF(P71="확정",I71,0)</x:f>
        <x:v>0</x:v>
      </x:c>
      <x:c r="N71" s="58" t="str"/>
      <x:c r="O71" s="58" t="str"/>
      <x:c r="P71" s="58" t="str">
        <x:v>미확정</x:v>
      </x:c>
      <x:c r="Q71" s="58" t="str"/>
    </x:row>
    <x:row r="72">
      <x:c r="A72" s="58" t="str"/>
      <x:c r="B72" s="58" t="str"/>
      <x:c r="C72" s="58" t="str"/>
      <x:c r="D72" s="58" t="str"/>
      <x:c r="E72" s="58" t="str"/>
      <x:c r="F72" s="69" t="str"/>
      <x:c r="G72" s="70"/>
      <x:c r="H72" s="58" t="str"/>
      <x:c r="I72" s="66" t="str">
        <x:f>IF(A72="","",MAX(0,G72+L72+IF(K72="Y",G72,0)-IF(J72="취소",G72,0)))</x:f>
      </x:c>
      <x:c r="J72" s="58" t="str"/>
      <x:c r="K72" s="58" t="str"/>
      <x:c r="L72" s="70"/>
      <x:c r="M72" s="66" t="n">
        <x:f>IF(P72="확정",I72,0)</x:f>
        <x:v>0</x:v>
      </x:c>
      <x:c r="N72" s="58" t="str"/>
      <x:c r="O72" s="58" t="str"/>
      <x:c r="P72" s="58" t="str">
        <x:v>미확정</x:v>
      </x:c>
      <x:c r="Q72" s="58" t="str"/>
    </x:row>
    <x:row r="73">
      <x:c r="A73" s="58" t="str"/>
      <x:c r="B73" s="58" t="str"/>
      <x:c r="C73" s="58" t="str"/>
      <x:c r="D73" s="58" t="str"/>
      <x:c r="E73" s="58" t="str"/>
      <x:c r="F73" s="69" t="str"/>
      <x:c r="G73" s="70"/>
      <x:c r="H73" s="58" t="str"/>
      <x:c r="I73" s="66" t="str">
        <x:f>IF(A73="","",MAX(0,G73+L73+IF(K73="Y",G73,0)-IF(J73="취소",G73,0)))</x:f>
      </x:c>
      <x:c r="J73" s="58" t="str"/>
      <x:c r="K73" s="58" t="str"/>
      <x:c r="L73" s="70"/>
      <x:c r="M73" s="66" t="n">
        <x:f>IF(P73="확정",I73,0)</x:f>
        <x:v>0</x:v>
      </x:c>
      <x:c r="N73" s="58" t="str"/>
      <x:c r="O73" s="58" t="str"/>
      <x:c r="P73" s="58" t="str">
        <x:v>미확정</x:v>
      </x:c>
      <x:c r="Q73" s="58" t="str"/>
    </x:row>
    <x:row r="74">
      <x:c r="A74" s="58" t="str"/>
      <x:c r="B74" s="58" t="str"/>
      <x:c r="C74" s="58" t="str"/>
      <x:c r="D74" s="58" t="str"/>
      <x:c r="E74" s="58" t="str"/>
      <x:c r="F74" s="69" t="str"/>
      <x:c r="G74" s="70"/>
      <x:c r="H74" s="58" t="str"/>
      <x:c r="I74" s="66" t="str">
        <x:f>IF(A74="","",MAX(0,G74+L74+IF(K74="Y",G74,0)-IF(J74="취소",G74,0)))</x:f>
      </x:c>
      <x:c r="J74" s="58" t="str"/>
      <x:c r="K74" s="58" t="str"/>
      <x:c r="L74" s="70"/>
      <x:c r="M74" s="66" t="n">
        <x:f>IF(P74="확정",I74,0)</x:f>
        <x:v>0</x:v>
      </x:c>
      <x:c r="N74" s="58" t="str"/>
      <x:c r="O74" s="58" t="str"/>
      <x:c r="P74" s="58" t="str">
        <x:v>미확정</x:v>
      </x:c>
      <x:c r="Q74" s="58" t="str"/>
    </x:row>
    <x:row r="75">
      <x:c r="A75" s="58" t="str"/>
      <x:c r="B75" s="58" t="str"/>
      <x:c r="C75" s="58" t="str"/>
      <x:c r="D75" s="58" t="str"/>
      <x:c r="E75" s="58" t="str"/>
      <x:c r="F75" s="69" t="str"/>
      <x:c r="G75" s="70"/>
      <x:c r="H75" s="58" t="str"/>
      <x:c r="I75" s="66" t="str">
        <x:f>IF(A75="","",MAX(0,G75+L75+IF(K75="Y",G75,0)-IF(J75="취소",G75,0)))</x:f>
      </x:c>
      <x:c r="J75" s="58" t="str"/>
      <x:c r="K75" s="58" t="str"/>
      <x:c r="L75" s="70"/>
      <x:c r="M75" s="66" t="n">
        <x:f>IF(P75="확정",I75,0)</x:f>
        <x:v>0</x:v>
      </x:c>
      <x:c r="N75" s="58" t="str"/>
      <x:c r="O75" s="58" t="str"/>
      <x:c r="P75" s="58" t="str">
        <x:v>미확정</x:v>
      </x:c>
      <x:c r="Q75" s="58" t="str"/>
    </x:row>
    <x:row r="76">
      <x:c r="A76" s="58" t="str"/>
      <x:c r="B76" s="58" t="str"/>
      <x:c r="C76" s="58" t="str"/>
      <x:c r="D76" s="58" t="str"/>
      <x:c r="E76" s="58" t="str"/>
      <x:c r="F76" s="69" t="str"/>
      <x:c r="G76" s="70"/>
      <x:c r="H76" s="58" t="str"/>
      <x:c r="I76" s="66" t="str">
        <x:f>IF(A76="","",MAX(0,G76+L76+IF(K76="Y",G76,0)-IF(J76="취소",G76,0)))</x:f>
      </x:c>
      <x:c r="J76" s="58" t="str"/>
      <x:c r="K76" s="58" t="str"/>
      <x:c r="L76" s="70"/>
      <x:c r="M76" s="66" t="n">
        <x:f>IF(P76="확정",I76,0)</x:f>
        <x:v>0</x:v>
      </x:c>
      <x:c r="N76" s="58" t="str"/>
      <x:c r="O76" s="58" t="str"/>
      <x:c r="P76" s="58" t="str">
        <x:v>미확정</x:v>
      </x:c>
      <x:c r="Q76" s="58" t="str"/>
    </x:row>
    <x:row r="77">
      <x:c r="A77" s="58" t="str"/>
      <x:c r="B77" s="58" t="str"/>
      <x:c r="C77" s="58" t="str"/>
      <x:c r="D77" s="58" t="str"/>
      <x:c r="E77" s="58" t="str"/>
      <x:c r="F77" s="69" t="str"/>
      <x:c r="G77" s="70"/>
      <x:c r="H77" s="58" t="str"/>
      <x:c r="I77" s="66" t="str">
        <x:f>IF(A77="","",MAX(0,G77+L77+IF(K77="Y",G77,0)-IF(J77="취소",G77,0)))</x:f>
      </x:c>
      <x:c r="J77" s="58" t="str"/>
      <x:c r="K77" s="58" t="str"/>
      <x:c r="L77" s="70"/>
      <x:c r="M77" s="66" t="n">
        <x:f>IF(P77="확정",I77,0)</x:f>
        <x:v>0</x:v>
      </x:c>
      <x:c r="N77" s="58" t="str"/>
      <x:c r="O77" s="58" t="str"/>
      <x:c r="P77" s="58" t="str">
        <x:v>미확정</x:v>
      </x:c>
      <x:c r="Q77" s="58" t="str"/>
    </x:row>
    <x:row r="78">
      <x:c r="A78" s="58" t="str"/>
      <x:c r="B78" s="58" t="str"/>
      <x:c r="C78" s="58" t="str"/>
      <x:c r="D78" s="58" t="str"/>
      <x:c r="E78" s="58" t="str"/>
      <x:c r="F78" s="69" t="str"/>
      <x:c r="G78" s="70"/>
      <x:c r="H78" s="58" t="str"/>
      <x:c r="I78" s="66" t="str">
        <x:f>IF(A78="","",MAX(0,G78+L78+IF(K78="Y",G78,0)-IF(J78="취소",G78,0)))</x:f>
      </x:c>
      <x:c r="J78" s="58" t="str"/>
      <x:c r="K78" s="58" t="str"/>
      <x:c r="L78" s="70"/>
      <x:c r="M78" s="66" t="n">
        <x:f>IF(P78="확정",I78,0)</x:f>
        <x:v>0</x:v>
      </x:c>
      <x:c r="N78" s="58" t="str"/>
      <x:c r="O78" s="58" t="str"/>
      <x:c r="P78" s="58" t="str">
        <x:v>미확정</x:v>
      </x:c>
      <x:c r="Q78" s="58" t="str"/>
    </x:row>
    <x:row r="79">
      <x:c r="A79" s="58" t="str"/>
      <x:c r="B79" s="58" t="str"/>
      <x:c r="C79" s="58" t="str"/>
      <x:c r="D79" s="58" t="str"/>
      <x:c r="E79" s="58" t="str"/>
      <x:c r="F79" s="69" t="str"/>
      <x:c r="G79" s="70"/>
      <x:c r="H79" s="58" t="str"/>
      <x:c r="I79" s="66" t="str">
        <x:f>IF(A79="","",MAX(0,G79+L79+IF(K79="Y",G79,0)-IF(J79="취소",G79,0)))</x:f>
      </x:c>
      <x:c r="J79" s="58" t="str"/>
      <x:c r="K79" s="58" t="str"/>
      <x:c r="L79" s="70"/>
      <x:c r="M79" s="66" t="n">
        <x:f>IF(P79="확정",I79,0)</x:f>
        <x:v>0</x:v>
      </x:c>
      <x:c r="N79" s="58" t="str"/>
      <x:c r="O79" s="58" t="str"/>
      <x:c r="P79" s="58" t="str">
        <x:v>미확정</x:v>
      </x:c>
      <x:c r="Q79" s="58" t="str"/>
    </x:row>
    <x:row r="80">
      <x:c r="A80" s="58" t="str"/>
      <x:c r="B80" s="58" t="str"/>
      <x:c r="C80" s="58" t="str"/>
      <x:c r="D80" s="58" t="str"/>
      <x:c r="E80" s="58" t="str"/>
      <x:c r="F80" s="69" t="str"/>
      <x:c r="G80" s="70"/>
      <x:c r="H80" s="58" t="str"/>
      <x:c r="I80" s="66" t="str">
        <x:f>IF(A80="","",MAX(0,G80+L80+IF(K80="Y",G80,0)-IF(J80="취소",G80,0)))</x:f>
      </x:c>
      <x:c r="J80" s="58" t="str"/>
      <x:c r="K80" s="58" t="str"/>
      <x:c r="L80" s="70"/>
      <x:c r="M80" s="66" t="n">
        <x:f>IF(P80="확정",I80,0)</x:f>
        <x:v>0</x:v>
      </x:c>
      <x:c r="N80" s="58" t="str"/>
      <x:c r="O80" s="58" t="str"/>
      <x:c r="P80" s="58" t="str">
        <x:v>미확정</x:v>
      </x:c>
      <x:c r="Q80" s="58" t="str"/>
    </x:row>
    <x:row r="81">
      <x:c r="A81" s="58" t="str"/>
      <x:c r="B81" s="58" t="str"/>
      <x:c r="C81" s="58" t="str"/>
      <x:c r="D81" s="58" t="str"/>
      <x:c r="E81" s="58" t="str"/>
      <x:c r="F81" s="69" t="str"/>
      <x:c r="G81" s="70"/>
      <x:c r="H81" s="58" t="str"/>
      <x:c r="I81" s="66" t="str">
        <x:f>IF(A81="","",MAX(0,G81+L81+IF(K81="Y",G81,0)-IF(J81="취소",G81,0)))</x:f>
      </x:c>
      <x:c r="J81" s="58" t="str"/>
      <x:c r="K81" s="58" t="str"/>
      <x:c r="L81" s="70"/>
      <x:c r="M81" s="66" t="n">
        <x:f>IF(P81="확정",I81,0)</x:f>
        <x:v>0</x:v>
      </x:c>
      <x:c r="N81" s="58" t="str"/>
      <x:c r="O81" s="58" t="str"/>
      <x:c r="P81" s="58" t="str">
        <x:v>미확정</x:v>
      </x:c>
      <x:c r="Q81" s="58" t="str"/>
    </x:row>
    <x:row r="82">
      <x:c r="A82" s="58" t="str"/>
      <x:c r="B82" s="58" t="str"/>
      <x:c r="C82" s="58" t="str"/>
      <x:c r="D82" s="58" t="str"/>
      <x:c r="E82" s="58" t="str"/>
      <x:c r="F82" s="69" t="str"/>
      <x:c r="G82" s="70"/>
      <x:c r="H82" s="58" t="str"/>
      <x:c r="I82" s="66" t="str">
        <x:f>IF(A82="","",MAX(0,G82+L82+IF(K82="Y",G82,0)-IF(J82="취소",G82,0)))</x:f>
      </x:c>
      <x:c r="J82" s="58" t="str"/>
      <x:c r="K82" s="58" t="str"/>
      <x:c r="L82" s="70"/>
      <x:c r="M82" s="66" t="n">
        <x:f>IF(P82="확정",I82,0)</x:f>
        <x:v>0</x:v>
      </x:c>
      <x:c r="N82" s="58" t="str"/>
      <x:c r="O82" s="58" t="str"/>
      <x:c r="P82" s="58" t="str">
        <x:v>미확정</x:v>
      </x:c>
      <x:c r="Q82" s="58" t="str"/>
    </x:row>
    <x:row r="83">
      <x:c r="A83" s="58" t="str"/>
      <x:c r="B83" s="58" t="str"/>
      <x:c r="C83" s="58" t="str"/>
      <x:c r="D83" s="58" t="str"/>
      <x:c r="E83" s="58" t="str"/>
      <x:c r="F83" s="69" t="str"/>
      <x:c r="G83" s="70"/>
      <x:c r="H83" s="58" t="str"/>
      <x:c r="I83" s="66" t="str">
        <x:f>IF(A83="","",MAX(0,G83+L83+IF(K83="Y",G83,0)-IF(J83="취소",G83,0)))</x:f>
      </x:c>
      <x:c r="J83" s="58" t="str"/>
      <x:c r="K83" s="58" t="str"/>
      <x:c r="L83" s="70"/>
      <x:c r="M83" s="66" t="n">
        <x:f>IF(P83="확정",I83,0)</x:f>
        <x:v>0</x:v>
      </x:c>
      <x:c r="N83" s="58" t="str"/>
      <x:c r="O83" s="58" t="str"/>
      <x:c r="P83" s="58" t="str">
        <x:v>미확정</x:v>
      </x:c>
      <x:c r="Q83" s="58" t="str"/>
    </x:row>
    <x:row r="84">
      <x:c r="A84" s="58" t="str"/>
      <x:c r="B84" s="58" t="str"/>
      <x:c r="C84" s="58" t="str"/>
      <x:c r="D84" s="58" t="str"/>
      <x:c r="E84" s="58" t="str"/>
      <x:c r="F84" s="69" t="str"/>
      <x:c r="G84" s="70"/>
      <x:c r="H84" s="58" t="str"/>
      <x:c r="I84" s="66" t="str">
        <x:f>IF(A84="","",MAX(0,G84+L84+IF(K84="Y",G84,0)-IF(J84="취소",G84,0)))</x:f>
      </x:c>
      <x:c r="J84" s="58" t="str"/>
      <x:c r="K84" s="58" t="str"/>
      <x:c r="L84" s="70"/>
      <x:c r="M84" s="66" t="n">
        <x:f>IF(P84="확정",I84,0)</x:f>
        <x:v>0</x:v>
      </x:c>
      <x:c r="N84" s="58" t="str"/>
      <x:c r="O84" s="58" t="str"/>
      <x:c r="P84" s="58" t="str">
        <x:v>미확정</x:v>
      </x:c>
      <x:c r="Q84" s="58" t="str"/>
    </x:row>
    <x:row r="85">
      <x:c r="A85" s="58" t="str"/>
      <x:c r="B85" s="58" t="str"/>
      <x:c r="C85" s="58" t="str"/>
      <x:c r="D85" s="58" t="str"/>
      <x:c r="E85" s="58" t="str"/>
      <x:c r="F85" s="69" t="str"/>
      <x:c r="G85" s="70"/>
      <x:c r="H85" s="58" t="str"/>
      <x:c r="I85" s="66" t="str">
        <x:f>IF(A85="","",MAX(0,G85+L85+IF(K85="Y",G85,0)-IF(J85="취소",G85,0)))</x:f>
      </x:c>
      <x:c r="J85" s="58" t="str"/>
      <x:c r="K85" s="58" t="str"/>
      <x:c r="L85" s="70"/>
      <x:c r="M85" s="66" t="n">
        <x:f>IF(P85="확정",I85,0)</x:f>
        <x:v>0</x:v>
      </x:c>
      <x:c r="N85" s="58" t="str"/>
      <x:c r="O85" s="58" t="str"/>
      <x:c r="P85" s="58" t="str">
        <x:v>미확정</x:v>
      </x:c>
      <x:c r="Q85" s="58" t="str"/>
    </x:row>
    <x:row r="86">
      <x:c r="A86" s="58" t="str"/>
      <x:c r="B86" s="58" t="str"/>
      <x:c r="C86" s="58" t="str"/>
      <x:c r="D86" s="58" t="str"/>
      <x:c r="E86" s="58" t="str"/>
      <x:c r="F86" s="69" t="str"/>
      <x:c r="G86" s="70"/>
      <x:c r="H86" s="58" t="str"/>
      <x:c r="I86" s="66" t="str">
        <x:f>IF(A86="","",MAX(0,G86+L86+IF(K86="Y",G86,0)-IF(J86="취소",G86,0)))</x:f>
      </x:c>
      <x:c r="J86" s="58" t="str"/>
      <x:c r="K86" s="58" t="str"/>
      <x:c r="L86" s="70"/>
      <x:c r="M86" s="66" t="n">
        <x:f>IF(P86="확정",I86,0)</x:f>
        <x:v>0</x:v>
      </x:c>
      <x:c r="N86" s="58" t="str"/>
      <x:c r="O86" s="58" t="str"/>
      <x:c r="P86" s="58" t="str">
        <x:v>미확정</x:v>
      </x:c>
      <x:c r="Q86" s="58" t="str"/>
    </x:row>
    <x:row r="87">
      <x:c r="A87" s="58" t="str"/>
      <x:c r="B87" s="58" t="str"/>
      <x:c r="C87" s="58" t="str"/>
      <x:c r="D87" s="58" t="str"/>
      <x:c r="E87" s="58" t="str"/>
      <x:c r="F87" s="69" t="str"/>
      <x:c r="G87" s="70"/>
      <x:c r="H87" s="58" t="str"/>
      <x:c r="I87" s="66" t="str">
        <x:f>IF(A87="","",MAX(0,G87+L87+IF(K87="Y",G87,0)-IF(J87="취소",G87,0)))</x:f>
      </x:c>
      <x:c r="J87" s="58" t="str"/>
      <x:c r="K87" s="58" t="str"/>
      <x:c r="L87" s="70"/>
      <x:c r="M87" s="66" t="n">
        <x:f>IF(P87="확정",I87,0)</x:f>
        <x:v>0</x:v>
      </x:c>
      <x:c r="N87" s="58" t="str"/>
      <x:c r="O87" s="58" t="str"/>
      <x:c r="P87" s="58" t="str">
        <x:v>미확정</x:v>
      </x:c>
      <x:c r="Q87" s="58" t="str"/>
    </x:row>
    <x:row r="88">
      <x:c r="A88" s="58" t="str"/>
      <x:c r="B88" s="58" t="str"/>
      <x:c r="C88" s="58" t="str"/>
      <x:c r="D88" s="58" t="str"/>
      <x:c r="E88" s="58" t="str"/>
      <x:c r="F88" s="69" t="str"/>
      <x:c r="G88" s="70"/>
      <x:c r="H88" s="58" t="str"/>
      <x:c r="I88" s="66" t="str">
        <x:f>IF(A88="","",MAX(0,G88+L88+IF(K88="Y",G88,0)-IF(J88="취소",G88,0)))</x:f>
      </x:c>
      <x:c r="J88" s="58" t="str"/>
      <x:c r="K88" s="58" t="str"/>
      <x:c r="L88" s="70"/>
      <x:c r="M88" s="66" t="n">
        <x:f>IF(P88="확정",I88,0)</x:f>
        <x:v>0</x:v>
      </x:c>
      <x:c r="N88" s="58" t="str"/>
      <x:c r="O88" s="58" t="str"/>
      <x:c r="P88" s="58" t="str">
        <x:v>미확정</x:v>
      </x:c>
      <x:c r="Q88" s="58" t="str"/>
    </x:row>
    <x:row r="89">
      <x:c r="A89" s="58" t="str"/>
      <x:c r="B89" s="58" t="str"/>
      <x:c r="C89" s="58" t="str"/>
      <x:c r="D89" s="58" t="str"/>
      <x:c r="E89" s="58" t="str"/>
      <x:c r="F89" s="69" t="str"/>
      <x:c r="G89" s="70"/>
      <x:c r="H89" s="58" t="str"/>
      <x:c r="I89" s="66" t="str">
        <x:f>IF(A89="","",MAX(0,G89+L89+IF(K89="Y",G89,0)-IF(J89="취소",G89,0)))</x:f>
      </x:c>
      <x:c r="J89" s="58" t="str"/>
      <x:c r="K89" s="58" t="str"/>
      <x:c r="L89" s="70"/>
      <x:c r="M89" s="66" t="n">
        <x:f>IF(P89="확정",I89,0)</x:f>
        <x:v>0</x:v>
      </x:c>
      <x:c r="N89" s="58" t="str"/>
      <x:c r="O89" s="58" t="str"/>
      <x:c r="P89" s="58" t="str">
        <x:v>미확정</x:v>
      </x:c>
      <x:c r="Q89" s="58" t="str"/>
    </x:row>
    <x:row r="90">
      <x:c r="A90" s="58" t="str"/>
      <x:c r="B90" s="58" t="str"/>
      <x:c r="C90" s="58" t="str"/>
      <x:c r="D90" s="58" t="str"/>
      <x:c r="E90" s="58" t="str"/>
      <x:c r="F90" s="69" t="str"/>
      <x:c r="G90" s="70"/>
      <x:c r="H90" s="58" t="str"/>
      <x:c r="I90" s="66" t="str">
        <x:f>IF(A90="","",MAX(0,G90+L90+IF(K90="Y",G90,0)-IF(J90="취소",G90,0)))</x:f>
      </x:c>
      <x:c r="J90" s="58" t="str"/>
      <x:c r="K90" s="58" t="str"/>
      <x:c r="L90" s="70"/>
      <x:c r="M90" s="66" t="n">
        <x:f>IF(P90="확정",I90,0)</x:f>
        <x:v>0</x:v>
      </x:c>
      <x:c r="N90" s="58" t="str"/>
      <x:c r="O90" s="58" t="str"/>
      <x:c r="P90" s="58" t="str">
        <x:v>미확정</x:v>
      </x:c>
      <x:c r="Q90" s="58" t="str"/>
    </x:row>
    <x:row r="91">
      <x:c r="A91" s="58" t="str"/>
      <x:c r="B91" s="58" t="str"/>
      <x:c r="C91" s="58" t="str"/>
      <x:c r="D91" s="58" t="str"/>
      <x:c r="E91" s="58" t="str"/>
      <x:c r="F91" s="69" t="str"/>
      <x:c r="G91" s="70"/>
      <x:c r="H91" s="58" t="str"/>
      <x:c r="I91" s="66" t="str">
        <x:f>IF(A91="","",MAX(0,G91+L91+IF(K91="Y",G91,0)-IF(J91="취소",G91,0)))</x:f>
      </x:c>
      <x:c r="J91" s="58" t="str"/>
      <x:c r="K91" s="58" t="str"/>
      <x:c r="L91" s="70"/>
      <x:c r="M91" s="66" t="n">
        <x:f>IF(P91="확정",I91,0)</x:f>
        <x:v>0</x:v>
      </x:c>
      <x:c r="N91" s="58" t="str"/>
      <x:c r="O91" s="58" t="str"/>
      <x:c r="P91" s="58" t="str">
        <x:v>미확정</x:v>
      </x:c>
      <x:c r="Q91" s="58" t="str"/>
    </x:row>
    <x:row r="92">
      <x:c r="A92" s="58" t="str"/>
      <x:c r="B92" s="58" t="str"/>
      <x:c r="C92" s="58" t="str"/>
      <x:c r="D92" s="58" t="str"/>
      <x:c r="E92" s="58" t="str"/>
      <x:c r="F92" s="69" t="str"/>
      <x:c r="G92" s="70"/>
      <x:c r="H92" s="58" t="str"/>
      <x:c r="I92" s="66" t="str">
        <x:f>IF(A92="","",MAX(0,G92+L92+IF(K92="Y",G92,0)-IF(J92="취소",G92,0)))</x:f>
      </x:c>
      <x:c r="J92" s="58" t="str"/>
      <x:c r="K92" s="58" t="str"/>
      <x:c r="L92" s="70"/>
      <x:c r="M92" s="66" t="n">
        <x:f>IF(P92="확정",I92,0)</x:f>
        <x:v>0</x:v>
      </x:c>
      <x:c r="N92" s="58" t="str"/>
      <x:c r="O92" s="58" t="str"/>
      <x:c r="P92" s="58" t="str">
        <x:v>미확정</x:v>
      </x:c>
      <x:c r="Q92" s="58" t="str"/>
    </x:row>
    <x:row r="93">
      <x:c r="A93" s="58" t="str"/>
      <x:c r="B93" s="58" t="str"/>
      <x:c r="C93" s="58" t="str"/>
      <x:c r="D93" s="58" t="str"/>
      <x:c r="E93" s="58" t="str"/>
      <x:c r="F93" s="69" t="str"/>
      <x:c r="G93" s="70"/>
      <x:c r="H93" s="58" t="str"/>
      <x:c r="I93" s="66" t="str">
        <x:f>IF(A93="","",MAX(0,G93+L93+IF(K93="Y",G93,0)-IF(J93="취소",G93,0)))</x:f>
      </x:c>
      <x:c r="J93" s="58" t="str"/>
      <x:c r="K93" s="58" t="str"/>
      <x:c r="L93" s="70"/>
      <x:c r="M93" s="66" t="n">
        <x:f>IF(P93="확정",I93,0)</x:f>
        <x:v>0</x:v>
      </x:c>
      <x:c r="N93" s="58" t="str"/>
      <x:c r="O93" s="58" t="str"/>
      <x:c r="P93" s="58" t="str">
        <x:v>미확정</x:v>
      </x:c>
      <x:c r="Q93" s="58" t="str"/>
    </x:row>
    <x:row r="94">
      <x:c r="A94" s="58" t="str"/>
      <x:c r="B94" s="58" t="str"/>
      <x:c r="C94" s="58" t="str"/>
      <x:c r="D94" s="58" t="str"/>
      <x:c r="E94" s="58" t="str"/>
      <x:c r="F94" s="69" t="str"/>
      <x:c r="G94" s="70"/>
      <x:c r="H94" s="58" t="str"/>
      <x:c r="I94" s="66" t="str">
        <x:f>IF(A94="","",MAX(0,G94+L94+IF(K94="Y",G94,0)-IF(J94="취소",G94,0)))</x:f>
      </x:c>
      <x:c r="J94" s="58" t="str"/>
      <x:c r="K94" s="58" t="str"/>
      <x:c r="L94" s="70"/>
      <x:c r="M94" s="66" t="n">
        <x:f>IF(P94="확정",I94,0)</x:f>
        <x:v>0</x:v>
      </x:c>
      <x:c r="N94" s="58" t="str"/>
      <x:c r="O94" s="58" t="str"/>
      <x:c r="P94" s="58" t="str">
        <x:v>미확정</x:v>
      </x:c>
      <x:c r="Q94" s="58" t="str"/>
    </x:row>
    <x:row r="95">
      <x:c r="A95" s="58" t="str"/>
      <x:c r="B95" s="58" t="str"/>
      <x:c r="C95" s="58" t="str"/>
      <x:c r="D95" s="58" t="str"/>
      <x:c r="E95" s="58" t="str"/>
      <x:c r="F95" s="69" t="str"/>
      <x:c r="G95" s="70"/>
      <x:c r="H95" s="58" t="str"/>
      <x:c r="I95" s="66" t="str">
        <x:f>IF(A95="","",MAX(0,G95+L95+IF(K95="Y",G95,0)-IF(J95="취소",G95,0)))</x:f>
      </x:c>
      <x:c r="J95" s="58" t="str"/>
      <x:c r="K95" s="58" t="str"/>
      <x:c r="L95" s="70"/>
      <x:c r="M95" s="66" t="n">
        <x:f>IF(P95="확정",I95,0)</x:f>
        <x:v>0</x:v>
      </x:c>
      <x:c r="N95" s="58" t="str"/>
      <x:c r="O95" s="58" t="str"/>
      <x:c r="P95" s="58" t="str">
        <x:v>미확정</x:v>
      </x:c>
      <x:c r="Q95" s="58" t="str"/>
    </x:row>
    <x:row r="96">
      <x:c r="A96" s="58" t="str"/>
      <x:c r="B96" s="58" t="str"/>
      <x:c r="C96" s="58" t="str"/>
      <x:c r="D96" s="58" t="str"/>
      <x:c r="E96" s="58" t="str"/>
      <x:c r="F96" s="69" t="str"/>
      <x:c r="G96" s="70"/>
      <x:c r="H96" s="58" t="str"/>
      <x:c r="I96" s="66" t="str">
        <x:f>IF(A96="","",MAX(0,G96+L96+IF(K96="Y",G96,0)-IF(J96="취소",G96,0)))</x:f>
      </x:c>
      <x:c r="J96" s="58" t="str"/>
      <x:c r="K96" s="58" t="str"/>
      <x:c r="L96" s="70"/>
      <x:c r="M96" s="66" t="n">
        <x:f>IF(P96="확정",I96,0)</x:f>
        <x:v>0</x:v>
      </x:c>
      <x:c r="N96" s="58" t="str"/>
      <x:c r="O96" s="58" t="str"/>
      <x:c r="P96" s="58" t="str">
        <x:v>미확정</x:v>
      </x:c>
      <x:c r="Q96" s="58" t="str"/>
    </x:row>
    <x:row r="97">
      <x:c r="A97" s="58" t="str"/>
      <x:c r="B97" s="58" t="str"/>
      <x:c r="C97" s="58" t="str"/>
      <x:c r="D97" s="58" t="str"/>
      <x:c r="E97" s="58" t="str"/>
      <x:c r="F97" s="69" t="str"/>
      <x:c r="G97" s="70"/>
      <x:c r="H97" s="58" t="str"/>
      <x:c r="I97" s="66" t="str">
        <x:f>IF(A97="","",MAX(0,G97+L97+IF(K97="Y",G97,0)-IF(J97="취소",G97,0)))</x:f>
      </x:c>
      <x:c r="J97" s="58" t="str"/>
      <x:c r="K97" s="58" t="str"/>
      <x:c r="L97" s="70"/>
      <x:c r="M97" s="66" t="n">
        <x:f>IF(P97="확정",I97,0)</x:f>
        <x:v>0</x:v>
      </x:c>
      <x:c r="N97" s="58" t="str"/>
      <x:c r="O97" s="58" t="str"/>
      <x:c r="P97" s="58" t="str">
        <x:v>미확정</x:v>
      </x:c>
      <x:c r="Q97" s="58" t="str"/>
    </x:row>
    <x:row r="98">
      <x:c r="A98" s="58" t="str"/>
      <x:c r="B98" s="58" t="str"/>
      <x:c r="C98" s="58" t="str"/>
      <x:c r="D98" s="58" t="str"/>
      <x:c r="E98" s="58" t="str"/>
      <x:c r="F98" s="69" t="str"/>
      <x:c r="G98" s="70"/>
      <x:c r="H98" s="58" t="str"/>
      <x:c r="I98" s="66" t="str">
        <x:f>IF(A98="","",MAX(0,G98+L98+IF(K98="Y",G98,0)-IF(J98="취소",G98,0)))</x:f>
      </x:c>
      <x:c r="J98" s="58" t="str"/>
      <x:c r="K98" s="58" t="str"/>
      <x:c r="L98" s="70"/>
      <x:c r="M98" s="66" t="n">
        <x:f>IF(P98="확정",I98,0)</x:f>
        <x:v>0</x:v>
      </x:c>
      <x:c r="N98" s="58" t="str"/>
      <x:c r="O98" s="58" t="str"/>
      <x:c r="P98" s="58" t="str">
        <x:v>미확정</x:v>
      </x:c>
      <x:c r="Q98" s="58" t="str"/>
    </x:row>
    <x:row r="99">
      <x:c r="A99" s="58" t="str"/>
      <x:c r="B99" s="58" t="str"/>
      <x:c r="C99" s="58" t="str"/>
      <x:c r="D99" s="58" t="str"/>
      <x:c r="E99" s="58" t="str"/>
      <x:c r="F99" s="69" t="str"/>
      <x:c r="G99" s="70"/>
      <x:c r="H99" s="58" t="str"/>
      <x:c r="I99" s="66" t="str">
        <x:f>IF(A99="","",MAX(0,G99+L99+IF(K99="Y",G99,0)-IF(J99="취소",G99,0)))</x:f>
      </x:c>
      <x:c r="J99" s="58" t="str"/>
      <x:c r="K99" s="58" t="str"/>
      <x:c r="L99" s="70"/>
      <x:c r="M99" s="66" t="n">
        <x:f>IF(P99="확정",I99,0)</x:f>
        <x:v>0</x:v>
      </x:c>
      <x:c r="N99" s="58" t="str"/>
      <x:c r="O99" s="58" t="str"/>
      <x:c r="P99" s="58" t="str">
        <x:v>미확정</x:v>
      </x:c>
      <x:c r="Q99" s="58" t="str"/>
    </x:row>
    <x:row r="100">
      <x:c r="A100" s="58" t="str"/>
      <x:c r="B100" s="58" t="str"/>
      <x:c r="C100" s="58" t="str"/>
      <x:c r="D100" s="58" t="str"/>
      <x:c r="E100" s="58" t="str"/>
      <x:c r="F100" s="69" t="str"/>
      <x:c r="G100" s="70"/>
      <x:c r="H100" s="58" t="str"/>
      <x:c r="I100" s="66" t="str">
        <x:f>IF(A100="","",MAX(0,G100+L100+IF(K100="Y",G100,0)-IF(J100="취소",G100,0)))</x:f>
      </x:c>
      <x:c r="J100" s="58" t="str"/>
      <x:c r="K100" s="58" t="str"/>
      <x:c r="L100" s="70"/>
      <x:c r="M100" s="66" t="n">
        <x:f>IF(P100="확정",I100,0)</x:f>
        <x:v>0</x:v>
      </x:c>
      <x:c r="N100" s="58" t="str"/>
      <x:c r="O100" s="58" t="str"/>
      <x:c r="P100" s="58" t="str">
        <x:v>미확정</x:v>
      </x:c>
      <x:c r="Q100" s="58" t="str"/>
    </x:row>
    <x:row r="101">
      <x:c r="A101" s="58" t="str"/>
      <x:c r="B101" s="58" t="str"/>
      <x:c r="C101" s="58" t="str"/>
      <x:c r="D101" s="58" t="str"/>
      <x:c r="E101" s="58" t="str"/>
      <x:c r="F101" s="69" t="str"/>
      <x:c r="G101" s="70"/>
      <x:c r="H101" s="58" t="str"/>
      <x:c r="I101" s="66" t="str">
        <x:f>IF(A101="","",MAX(0,G101+L101+IF(K101="Y",G101,0)-IF(J101="취소",G101,0)))</x:f>
      </x:c>
      <x:c r="J101" s="58" t="str"/>
      <x:c r="K101" s="58" t="str"/>
      <x:c r="L101" s="70"/>
      <x:c r="M101" s="66" t="n">
        <x:f>IF(P101="확정",I101,0)</x:f>
        <x:v>0</x:v>
      </x:c>
      <x:c r="N101" s="58" t="str"/>
      <x:c r="O101" s="58" t="str"/>
      <x:c r="P101" s="58" t="str">
        <x:v>미확정</x:v>
      </x:c>
      <x:c r="Q101" s="58" t="str"/>
    </x:row>
    <x:row r="102">
      <x:c r="A102" s="58" t="str"/>
      <x:c r="B102" s="58" t="str"/>
      <x:c r="C102" s="58" t="str"/>
      <x:c r="D102" s="58" t="str"/>
      <x:c r="E102" s="58" t="str"/>
      <x:c r="F102" s="69" t="str"/>
      <x:c r="G102" s="70"/>
      <x:c r="H102" s="58" t="str"/>
      <x:c r="I102" s="66" t="str">
        <x:f>IF(A102="","",MAX(0,G102+L102+IF(K102="Y",G102,0)-IF(J102="취소",G102,0)))</x:f>
      </x:c>
      <x:c r="J102" s="58" t="str"/>
      <x:c r="K102" s="58" t="str"/>
      <x:c r="L102" s="70"/>
      <x:c r="M102" s="66" t="n">
        <x:f>IF(P102="확정",I102,0)</x:f>
        <x:v>0</x:v>
      </x:c>
      <x:c r="N102" s="58" t="str"/>
      <x:c r="O102" s="58" t="str"/>
      <x:c r="P102" s="58" t="str">
        <x:v>미확정</x:v>
      </x:c>
      <x:c r="Q102" s="58" t="str"/>
    </x:row>
    <x:row r="103">
      <x:c r="A103" s="58" t="str"/>
      <x:c r="B103" s="58" t="str"/>
      <x:c r="C103" s="58" t="str"/>
      <x:c r="D103" s="58" t="str"/>
      <x:c r="E103" s="58" t="str"/>
      <x:c r="F103" s="69" t="str"/>
      <x:c r="G103" s="70"/>
      <x:c r="H103" s="58" t="str"/>
      <x:c r="I103" s="66" t="str">
        <x:f>IF(A103="","",MAX(0,G103+L103+IF(K103="Y",G103,0)-IF(J103="취소",G103,0)))</x:f>
      </x:c>
      <x:c r="J103" s="58" t="str"/>
      <x:c r="K103" s="58" t="str"/>
      <x:c r="L103" s="70"/>
      <x:c r="M103" s="66" t="n">
        <x:f>IF(P103="확정",I103,0)</x:f>
        <x:v>0</x:v>
      </x:c>
      <x:c r="N103" s="58" t="str"/>
      <x:c r="O103" s="58" t="str"/>
      <x:c r="P103" s="58" t="str">
        <x:v>미확정</x:v>
      </x:c>
      <x:c r="Q103" s="58" t="str"/>
    </x:row>
    <x:row r="104">
      <x:c r="A104" s="58" t="str"/>
      <x:c r="B104" s="58" t="str"/>
      <x:c r="C104" s="58" t="str"/>
      <x:c r="D104" s="58" t="str"/>
      <x:c r="E104" s="58" t="str"/>
      <x:c r="F104" s="69" t="str"/>
      <x:c r="G104" s="70"/>
      <x:c r="H104" s="58" t="str"/>
      <x:c r="I104" s="66" t="str">
        <x:f>IF(A104="","",MAX(0,G104+L104+IF(K104="Y",G104,0)-IF(J104="취소",G104,0)))</x:f>
      </x:c>
      <x:c r="J104" s="58" t="str"/>
      <x:c r="K104" s="58" t="str"/>
      <x:c r="L104" s="70"/>
      <x:c r="M104" s="66" t="n">
        <x:f>IF(P104="확정",I104,0)</x:f>
        <x:v>0</x:v>
      </x:c>
      <x:c r="N104" s="58" t="str"/>
      <x:c r="O104" s="58" t="str"/>
      <x:c r="P104" s="58" t="str">
        <x:v>미확정</x:v>
      </x:c>
      <x:c r="Q104" s="58" t="str"/>
    </x:row>
    <x:row r="105">
      <x:c r="A105" s="58" t="str"/>
      <x:c r="B105" s="58" t="str"/>
      <x:c r="C105" s="58" t="str"/>
      <x:c r="D105" s="58" t="str"/>
      <x:c r="E105" s="58" t="str"/>
      <x:c r="F105" s="69" t="str"/>
      <x:c r="G105" s="70"/>
      <x:c r="H105" s="58" t="str"/>
      <x:c r="I105" s="66" t="str">
        <x:f>IF(A105="","",MAX(0,G105+L105+IF(K105="Y",G105,0)-IF(J105="취소",G105,0)))</x:f>
      </x:c>
      <x:c r="J105" s="58" t="str"/>
      <x:c r="K105" s="58" t="str"/>
      <x:c r="L105" s="70"/>
      <x:c r="M105" s="66" t="n">
        <x:f>IF(P105="확정",I105,0)</x:f>
        <x:v>0</x:v>
      </x:c>
      <x:c r="N105" s="58" t="str"/>
      <x:c r="O105" s="58" t="str"/>
      <x:c r="P105" s="58" t="str">
        <x:v>미확정</x:v>
      </x:c>
      <x:c r="Q105" s="58" t="str"/>
    </x:row>
    <x:row r="106">
      <x:c r="A106" s="58" t="str"/>
      <x:c r="B106" s="58" t="str"/>
      <x:c r="C106" s="58" t="str"/>
      <x:c r="D106" s="58" t="str"/>
      <x:c r="E106" s="58" t="str"/>
      <x:c r="F106" s="69" t="str"/>
      <x:c r="G106" s="70"/>
      <x:c r="H106" s="58" t="str"/>
      <x:c r="I106" s="66" t="str">
        <x:f>IF(A106="","",MAX(0,G106+L106+IF(K106="Y",G106,0)-IF(J106="취소",G106,0)))</x:f>
      </x:c>
      <x:c r="J106" s="58" t="str"/>
      <x:c r="K106" s="58" t="str"/>
      <x:c r="L106" s="70"/>
      <x:c r="M106" s="66" t="n">
        <x:f>IF(P106="확정",I106,0)</x:f>
        <x:v>0</x:v>
      </x:c>
      <x:c r="N106" s="58" t="str"/>
      <x:c r="O106" s="58" t="str"/>
      <x:c r="P106" s="58" t="str">
        <x:v>미확정</x:v>
      </x:c>
      <x:c r="Q106" s="58" t="str"/>
    </x:row>
    <x:row r="107">
      <x:c r="A107" s="58" t="str"/>
      <x:c r="B107" s="58" t="str"/>
      <x:c r="C107" s="58" t="str"/>
      <x:c r="D107" s="58" t="str"/>
      <x:c r="E107" s="58" t="str"/>
      <x:c r="F107" s="69" t="str"/>
      <x:c r="G107" s="70"/>
      <x:c r="H107" s="58" t="str"/>
      <x:c r="I107" s="66" t="str">
        <x:f>IF(A107="","",MAX(0,G107+L107+IF(K107="Y",G107,0)-IF(J107="취소",G107,0)))</x:f>
      </x:c>
      <x:c r="J107" s="58" t="str"/>
      <x:c r="K107" s="58" t="str"/>
      <x:c r="L107" s="70"/>
      <x:c r="M107" s="66" t="n">
        <x:f>IF(P107="확정",I107,0)</x:f>
        <x:v>0</x:v>
      </x:c>
      <x:c r="N107" s="58" t="str"/>
      <x:c r="O107" s="58" t="str"/>
      <x:c r="P107" s="58" t="str">
        <x:v>미확정</x:v>
      </x:c>
      <x:c r="Q107" s="58" t="str"/>
    </x:row>
    <x:row r="108">
      <x:c r="A108" s="58" t="str"/>
      <x:c r="B108" s="58" t="str"/>
      <x:c r="C108" s="58" t="str"/>
      <x:c r="D108" s="58" t="str"/>
      <x:c r="E108" s="58" t="str"/>
      <x:c r="F108" s="69" t="str"/>
      <x:c r="G108" s="70"/>
      <x:c r="H108" s="58" t="str"/>
      <x:c r="I108" s="66" t="str">
        <x:f>IF(A108="","",MAX(0,G108+L108+IF(K108="Y",G108,0)-IF(J108="취소",G108,0)))</x:f>
      </x:c>
      <x:c r="J108" s="58" t="str"/>
      <x:c r="K108" s="58" t="str"/>
      <x:c r="L108" s="70"/>
      <x:c r="M108" s="66" t="n">
        <x:f>IF(P108="확정",I108,0)</x:f>
        <x:v>0</x:v>
      </x:c>
      <x:c r="N108" s="58" t="str"/>
      <x:c r="O108" s="58" t="str"/>
      <x:c r="P108" s="58" t="str">
        <x:v>미확정</x:v>
      </x:c>
      <x:c r="Q108" s="58" t="str"/>
    </x:row>
    <x:row r="109">
      <x:c r="A109" s="58" t="str"/>
      <x:c r="B109" s="58" t="str"/>
      <x:c r="C109" s="58" t="str"/>
      <x:c r="D109" s="58" t="str"/>
      <x:c r="E109" s="58" t="str"/>
      <x:c r="F109" s="69" t="str"/>
      <x:c r="G109" s="70"/>
      <x:c r="H109" s="58" t="str"/>
      <x:c r="I109" s="66" t="str">
        <x:f>IF(A109="","",MAX(0,G109+L109+IF(K109="Y",G109,0)-IF(J109="취소",G109,0)))</x:f>
      </x:c>
      <x:c r="J109" s="58" t="str"/>
      <x:c r="K109" s="58" t="str"/>
      <x:c r="L109" s="70"/>
      <x:c r="M109" s="66" t="n">
        <x:f>IF(P109="확정",I109,0)</x:f>
        <x:v>0</x:v>
      </x:c>
      <x:c r="N109" s="58" t="str"/>
      <x:c r="O109" s="58" t="str"/>
      <x:c r="P109" s="58" t="str">
        <x:v>미확정</x:v>
      </x:c>
      <x:c r="Q109" s="58" t="str"/>
    </x:row>
    <x:row r="110">
      <x:c r="A110" s="58" t="str"/>
      <x:c r="B110" s="58" t="str"/>
      <x:c r="C110" s="58" t="str"/>
      <x:c r="D110" s="58" t="str"/>
      <x:c r="E110" s="58" t="str"/>
      <x:c r="F110" s="69" t="str"/>
      <x:c r="G110" s="70"/>
      <x:c r="H110" s="58" t="str"/>
      <x:c r="I110" s="66" t="str">
        <x:f>IF(A110="","",MAX(0,G110+L110+IF(K110="Y",G110,0)-IF(J110="취소",G110,0)))</x:f>
      </x:c>
      <x:c r="J110" s="58" t="str"/>
      <x:c r="K110" s="58" t="str"/>
      <x:c r="L110" s="70"/>
      <x:c r="M110" s="66" t="n">
        <x:f>IF(P110="확정",I110,0)</x:f>
        <x:v>0</x:v>
      </x:c>
      <x:c r="N110" s="58" t="str"/>
      <x:c r="O110" s="58" t="str"/>
      <x:c r="P110" s="58" t="str">
        <x:v>미확정</x:v>
      </x:c>
      <x:c r="Q110" s="58" t="str"/>
    </x:row>
    <x:row r="111">
      <x:c r="A111" s="58" t="str"/>
      <x:c r="B111" s="58" t="str"/>
      <x:c r="C111" s="58" t="str"/>
      <x:c r="D111" s="58" t="str"/>
      <x:c r="E111" s="58" t="str"/>
      <x:c r="F111" s="69" t="str"/>
      <x:c r="G111" s="70"/>
      <x:c r="H111" s="58" t="str"/>
      <x:c r="I111" s="66" t="str">
        <x:f>IF(A111="","",MAX(0,G111+L111+IF(K111="Y",G111,0)-IF(J111="취소",G111,0)))</x:f>
      </x:c>
      <x:c r="J111" s="58" t="str"/>
      <x:c r="K111" s="58" t="str"/>
      <x:c r="L111" s="70"/>
      <x:c r="M111" s="66" t="n">
        <x:f>IF(P111="확정",I111,0)</x:f>
        <x:v>0</x:v>
      </x:c>
      <x:c r="N111" s="58" t="str"/>
      <x:c r="O111" s="58" t="str"/>
      <x:c r="P111" s="58" t="str">
        <x:v>미확정</x:v>
      </x:c>
      <x:c r="Q111" s="58" t="str"/>
    </x:row>
    <x:row r="112">
      <x:c r="A112" s="58" t="str"/>
      <x:c r="B112" s="58" t="str"/>
      <x:c r="C112" s="58" t="str"/>
      <x:c r="D112" s="58" t="str"/>
      <x:c r="E112" s="58" t="str"/>
      <x:c r="F112" s="69" t="str"/>
      <x:c r="G112" s="70"/>
      <x:c r="H112" s="58" t="str"/>
      <x:c r="I112" s="66" t="str">
        <x:f>IF(A112="","",MAX(0,G112+L112+IF(K112="Y",G112,0)-IF(J112="취소",G112,0)))</x:f>
      </x:c>
      <x:c r="J112" s="58" t="str"/>
      <x:c r="K112" s="58" t="str"/>
      <x:c r="L112" s="70"/>
      <x:c r="M112" s="66" t="n">
        <x:f>IF(P112="확정",I112,0)</x:f>
        <x:v>0</x:v>
      </x:c>
      <x:c r="N112" s="58" t="str"/>
      <x:c r="O112" s="58" t="str"/>
      <x:c r="P112" s="58" t="str">
        <x:v>미확정</x:v>
      </x:c>
      <x:c r="Q112" s="58" t="str"/>
    </x:row>
    <x:row r="113">
      <x:c r="A113" s="58" t="str"/>
      <x:c r="B113" s="58" t="str"/>
      <x:c r="C113" s="58" t="str"/>
      <x:c r="D113" s="58" t="str"/>
      <x:c r="E113" s="58" t="str"/>
      <x:c r="F113" s="69" t="str"/>
      <x:c r="G113" s="70"/>
      <x:c r="H113" s="58" t="str"/>
      <x:c r="I113" s="66" t="str">
        <x:f>IF(A113="","",MAX(0,G113+L113+IF(K113="Y",G113,0)-IF(J113="취소",G113,0)))</x:f>
      </x:c>
      <x:c r="J113" s="58" t="str"/>
      <x:c r="K113" s="58" t="str"/>
      <x:c r="L113" s="70"/>
      <x:c r="M113" s="66" t="n">
        <x:f>IF(P113="확정",I113,0)</x:f>
        <x:v>0</x:v>
      </x:c>
      <x:c r="N113" s="58" t="str"/>
      <x:c r="O113" s="58" t="str"/>
      <x:c r="P113" s="58" t="str">
        <x:v>미확정</x:v>
      </x:c>
      <x:c r="Q113" s="58" t="str"/>
    </x:row>
    <x:row r="114">
      <x:c r="A114" s="58" t="str"/>
      <x:c r="B114" s="58" t="str"/>
      <x:c r="C114" s="58" t="str"/>
      <x:c r="D114" s="58" t="str"/>
      <x:c r="E114" s="58" t="str"/>
      <x:c r="F114" s="69" t="str"/>
      <x:c r="G114" s="70"/>
      <x:c r="H114" s="58" t="str"/>
      <x:c r="I114" s="66" t="str">
        <x:f>IF(A114="","",MAX(0,G114+L114+IF(K114="Y",G114,0)-IF(J114="취소",G114,0)))</x:f>
      </x:c>
      <x:c r="J114" s="58" t="str"/>
      <x:c r="K114" s="58" t="str"/>
      <x:c r="L114" s="70"/>
      <x:c r="M114" s="66" t="n">
        <x:f>IF(P114="확정",I114,0)</x:f>
        <x:v>0</x:v>
      </x:c>
      <x:c r="N114" s="58" t="str"/>
      <x:c r="O114" s="58" t="str"/>
      <x:c r="P114" s="58" t="str">
        <x:v>미확정</x:v>
      </x:c>
      <x:c r="Q114" s="58" t="str"/>
    </x:row>
    <x:row r="115">
      <x:c r="A115" s="58" t="str"/>
      <x:c r="B115" s="58" t="str"/>
      <x:c r="C115" s="58" t="str"/>
      <x:c r="D115" s="58" t="str"/>
      <x:c r="E115" s="58" t="str"/>
      <x:c r="F115" s="69" t="str"/>
      <x:c r="G115" s="70"/>
      <x:c r="H115" s="58" t="str"/>
      <x:c r="I115" s="66" t="str">
        <x:f>IF(A115="","",MAX(0,G115+L115+IF(K115="Y",G115,0)-IF(J115="취소",G115,0)))</x:f>
      </x:c>
      <x:c r="J115" s="58" t="str"/>
      <x:c r="K115" s="58" t="str"/>
      <x:c r="L115" s="70"/>
      <x:c r="M115" s="66" t="n">
        <x:f>IF(P115="확정",I115,0)</x:f>
        <x:v>0</x:v>
      </x:c>
      <x:c r="N115" s="58" t="str"/>
      <x:c r="O115" s="58" t="str"/>
      <x:c r="P115" s="58" t="str">
        <x:v>미확정</x:v>
      </x:c>
      <x:c r="Q115" s="58" t="str"/>
    </x:row>
    <x:row r="116">
      <x:c r="A116" s="58" t="str"/>
      <x:c r="B116" s="58" t="str"/>
      <x:c r="C116" s="58" t="str"/>
      <x:c r="D116" s="58" t="str"/>
      <x:c r="E116" s="58" t="str"/>
      <x:c r="F116" s="69" t="str"/>
      <x:c r="G116" s="70"/>
      <x:c r="H116" s="58" t="str"/>
      <x:c r="I116" s="66" t="str">
        <x:f>IF(A116="","",MAX(0,G116+L116+IF(K116="Y",G116,0)-IF(J116="취소",G116,0)))</x:f>
      </x:c>
      <x:c r="J116" s="58" t="str"/>
      <x:c r="K116" s="58" t="str"/>
      <x:c r="L116" s="70"/>
      <x:c r="M116" s="66" t="n">
        <x:f>IF(P116="확정",I116,0)</x:f>
        <x:v>0</x:v>
      </x:c>
      <x:c r="N116" s="58" t="str"/>
      <x:c r="O116" s="58" t="str"/>
      <x:c r="P116" s="58" t="str">
        <x:v>미확정</x:v>
      </x:c>
      <x:c r="Q116" s="58" t="str"/>
    </x:row>
    <x:row r="117">
      <x:c r="A117" s="58" t="str"/>
      <x:c r="B117" s="58" t="str"/>
      <x:c r="C117" s="58" t="str"/>
      <x:c r="D117" s="58" t="str"/>
      <x:c r="E117" s="58" t="str"/>
      <x:c r="F117" s="69" t="str"/>
      <x:c r="G117" s="70"/>
      <x:c r="H117" s="58" t="str"/>
      <x:c r="I117" s="66" t="str">
        <x:f>IF(A117="","",MAX(0,G117+L117+IF(K117="Y",G117,0)-IF(J117="취소",G117,0)))</x:f>
      </x:c>
      <x:c r="J117" s="58" t="str"/>
      <x:c r="K117" s="58" t="str"/>
      <x:c r="L117" s="70"/>
      <x:c r="M117" s="66" t="n">
        <x:f>IF(P117="확정",I117,0)</x:f>
        <x:v>0</x:v>
      </x:c>
      <x:c r="N117" s="58" t="str"/>
      <x:c r="O117" s="58" t="str"/>
      <x:c r="P117" s="58" t="str">
        <x:v>미확정</x:v>
      </x:c>
      <x:c r="Q117" s="58" t="str"/>
    </x:row>
    <x:row r="118">
      <x:c r="A118" s="58" t="str"/>
      <x:c r="B118" s="58" t="str"/>
      <x:c r="C118" s="58" t="str"/>
      <x:c r="D118" s="58" t="str"/>
      <x:c r="E118" s="58" t="str"/>
      <x:c r="F118" s="69" t="str"/>
      <x:c r="G118" s="70"/>
      <x:c r="H118" s="58" t="str"/>
      <x:c r="I118" s="66" t="str">
        <x:f>IF(A118="","",MAX(0,G118+L118+IF(K118="Y",G118,0)-IF(J118="취소",G118,0)))</x:f>
      </x:c>
      <x:c r="J118" s="58" t="str"/>
      <x:c r="K118" s="58" t="str"/>
      <x:c r="L118" s="70"/>
      <x:c r="M118" s="66" t="n">
        <x:f>IF(P118="확정",I118,0)</x:f>
        <x:v>0</x:v>
      </x:c>
      <x:c r="N118" s="58" t="str"/>
      <x:c r="O118" s="58" t="str"/>
      <x:c r="P118" s="58" t="str">
        <x:v>미확정</x:v>
      </x:c>
      <x:c r="Q118" s="58" t="str"/>
    </x:row>
    <x:row r="119">
      <x:c r="A119" s="58" t="str"/>
      <x:c r="B119" s="58" t="str"/>
      <x:c r="C119" s="58" t="str"/>
      <x:c r="D119" s="58" t="str"/>
      <x:c r="E119" s="58" t="str"/>
      <x:c r="F119" s="69" t="str"/>
      <x:c r="G119" s="70"/>
      <x:c r="H119" s="58" t="str"/>
      <x:c r="I119" s="66" t="str">
        <x:f>IF(A119="","",MAX(0,G119+L119+IF(K119="Y",G119,0)-IF(J119="취소",G119,0)))</x:f>
      </x:c>
      <x:c r="J119" s="58" t="str"/>
      <x:c r="K119" s="58" t="str"/>
      <x:c r="L119" s="70"/>
      <x:c r="M119" s="66" t="n">
        <x:f>IF(P119="확정",I119,0)</x:f>
        <x:v>0</x:v>
      </x:c>
      <x:c r="N119" s="58" t="str"/>
      <x:c r="O119" s="58" t="str"/>
      <x:c r="P119" s="58" t="str">
        <x:v>미확정</x:v>
      </x:c>
      <x:c r="Q119" s="58" t="str"/>
    </x:row>
    <x:row r="120">
      <x:c r="A120" s="58" t="str"/>
      <x:c r="B120" s="58" t="str"/>
      <x:c r="C120" s="58" t="str"/>
      <x:c r="D120" s="58" t="str"/>
      <x:c r="E120" s="58" t="str"/>
      <x:c r="F120" s="69" t="str"/>
      <x:c r="G120" s="70"/>
      <x:c r="H120" s="58" t="str"/>
      <x:c r="I120" s="66" t="str">
        <x:f>IF(A120="","",MAX(0,G120+L120+IF(K120="Y",G120,0)-IF(J120="취소",G120,0)))</x:f>
      </x:c>
      <x:c r="J120" s="58" t="str"/>
      <x:c r="K120" s="58" t="str"/>
      <x:c r="L120" s="70"/>
      <x:c r="M120" s="66" t="n">
        <x:f>IF(P120="확정",I120,0)</x:f>
        <x:v>0</x:v>
      </x:c>
      <x:c r="N120" s="58" t="str"/>
      <x:c r="O120" s="58" t="str"/>
      <x:c r="P120" s="58" t="str">
        <x:v>미확정</x:v>
      </x:c>
      <x:c r="Q120" s="58" t="str"/>
    </x:row>
    <x:row r="121">
      <x:c r="A121" s="58" t="str"/>
      <x:c r="B121" s="58" t="str"/>
      <x:c r="C121" s="58" t="str"/>
      <x:c r="D121" s="58" t="str"/>
      <x:c r="E121" s="58" t="str"/>
      <x:c r="F121" s="69" t="str"/>
      <x:c r="G121" s="70"/>
      <x:c r="H121" s="58" t="str"/>
      <x:c r="I121" s="66" t="str">
        <x:f>IF(A121="","",MAX(0,G121+L121+IF(K121="Y",G121,0)-IF(J121="취소",G121,0)))</x:f>
      </x:c>
      <x:c r="J121" s="58" t="str"/>
      <x:c r="K121" s="58" t="str"/>
      <x:c r="L121" s="70"/>
      <x:c r="M121" s="66" t="n">
        <x:f>IF(P121="확정",I121,0)</x:f>
        <x:v>0</x:v>
      </x:c>
      <x:c r="N121" s="58" t="str"/>
      <x:c r="O121" s="58" t="str"/>
      <x:c r="P121" s="58" t="str">
        <x:v>미확정</x:v>
      </x:c>
      <x:c r="Q121" s="58" t="str"/>
    </x:row>
    <x:row r="122">
      <x:c r="A122" s="58" t="str"/>
      <x:c r="B122" s="58" t="str"/>
      <x:c r="C122" s="58" t="str"/>
      <x:c r="D122" s="58" t="str"/>
      <x:c r="E122" s="58" t="str"/>
      <x:c r="F122" s="69" t="str"/>
      <x:c r="G122" s="70"/>
      <x:c r="H122" s="58" t="str"/>
      <x:c r="I122" s="66" t="str">
        <x:f>IF(A122="","",MAX(0,G122+L122+IF(K122="Y",G122,0)-IF(J122="취소",G122,0)))</x:f>
      </x:c>
      <x:c r="J122" s="58" t="str"/>
      <x:c r="K122" s="58" t="str"/>
      <x:c r="L122" s="70"/>
      <x:c r="M122" s="66" t="n">
        <x:f>IF(P122="확정",I122,0)</x:f>
        <x:v>0</x:v>
      </x:c>
      <x:c r="N122" s="58" t="str"/>
      <x:c r="O122" s="58" t="str"/>
      <x:c r="P122" s="58" t="str">
        <x:v>미확정</x:v>
      </x:c>
      <x:c r="Q122" s="58" t="str"/>
    </x:row>
    <x:row r="123">
      <x:c r="A123" s="58" t="str"/>
      <x:c r="B123" s="58" t="str"/>
      <x:c r="C123" s="58" t="str"/>
      <x:c r="D123" s="58" t="str"/>
      <x:c r="E123" s="58" t="str"/>
      <x:c r="F123" s="69" t="str"/>
      <x:c r="G123" s="70"/>
      <x:c r="H123" s="58" t="str"/>
      <x:c r="I123" s="66" t="str">
        <x:f>IF(A123="","",MAX(0,G123+L123+IF(K123="Y",G123,0)-IF(J123="취소",G123,0)))</x:f>
      </x:c>
      <x:c r="J123" s="58" t="str"/>
      <x:c r="K123" s="58" t="str"/>
      <x:c r="L123" s="70"/>
      <x:c r="M123" s="66" t="n">
        <x:f>IF(P123="확정",I123,0)</x:f>
        <x:v>0</x:v>
      </x:c>
      <x:c r="N123" s="58" t="str"/>
      <x:c r="O123" s="58" t="str"/>
      <x:c r="P123" s="58" t="str">
        <x:v>미확정</x:v>
      </x:c>
      <x:c r="Q123" s="58" t="str"/>
    </x:row>
    <x:row r="124">
      <x:c r="A124" s="58" t="str"/>
      <x:c r="B124" s="58" t="str"/>
      <x:c r="C124" s="58" t="str"/>
      <x:c r="D124" s="58" t="str"/>
      <x:c r="E124" s="58" t="str"/>
      <x:c r="F124" s="69" t="str"/>
      <x:c r="G124" s="70"/>
      <x:c r="H124" s="58" t="str"/>
      <x:c r="I124" s="66" t="str">
        <x:f>IF(A124="","",MAX(0,G124+L124+IF(K124="Y",G124,0)-IF(J124="취소",G124,0)))</x:f>
      </x:c>
      <x:c r="J124" s="58" t="str"/>
      <x:c r="K124" s="58" t="str"/>
      <x:c r="L124" s="70"/>
      <x:c r="M124" s="66" t="n">
        <x:f>IF(P124="확정",I124,0)</x:f>
        <x:v>0</x:v>
      </x:c>
      <x:c r="N124" s="58" t="str"/>
      <x:c r="O124" s="58" t="str"/>
      <x:c r="P124" s="58" t="str">
        <x:v>미확정</x:v>
      </x:c>
      <x:c r="Q124" s="58" t="str"/>
    </x:row>
    <x:row r="125">
      <x:c r="A125" s="58" t="str"/>
      <x:c r="B125" s="58" t="str"/>
      <x:c r="C125" s="58" t="str"/>
      <x:c r="D125" s="58" t="str"/>
      <x:c r="E125" s="58" t="str"/>
      <x:c r="F125" s="69" t="str"/>
      <x:c r="G125" s="70"/>
      <x:c r="H125" s="58" t="str"/>
      <x:c r="I125" s="66" t="str">
        <x:f>IF(A125="","",MAX(0,G125+L125+IF(K125="Y",G125,0)-IF(J125="취소",G125,0)))</x:f>
      </x:c>
      <x:c r="J125" s="58" t="str"/>
      <x:c r="K125" s="58" t="str"/>
      <x:c r="L125" s="70"/>
      <x:c r="M125" s="66" t="n">
        <x:f>IF(P125="확정",I125,0)</x:f>
        <x:v>0</x:v>
      </x:c>
      <x:c r="N125" s="58" t="str"/>
      <x:c r="O125" s="58" t="str"/>
      <x:c r="P125" s="58" t="str">
        <x:v>미확정</x:v>
      </x:c>
      <x:c r="Q125" s="58" t="str"/>
    </x:row>
    <x:row r="126">
      <x:c r="A126" s="58" t="str"/>
      <x:c r="B126" s="58" t="str"/>
      <x:c r="C126" s="58" t="str"/>
      <x:c r="D126" s="58" t="str"/>
      <x:c r="E126" s="58" t="str"/>
      <x:c r="F126" s="69" t="str"/>
      <x:c r="G126" s="70"/>
      <x:c r="H126" s="58" t="str"/>
      <x:c r="I126" s="66" t="str">
        <x:f>IF(A126="","",MAX(0,G126+L126+IF(K126="Y",G126,0)-IF(J126="취소",G126,0)))</x:f>
      </x:c>
      <x:c r="J126" s="58" t="str"/>
      <x:c r="K126" s="58" t="str"/>
      <x:c r="L126" s="70"/>
      <x:c r="M126" s="66" t="n">
        <x:f>IF(P126="확정",I126,0)</x:f>
        <x:v>0</x:v>
      </x:c>
      <x:c r="N126" s="58" t="str"/>
      <x:c r="O126" s="58" t="str"/>
      <x:c r="P126" s="58" t="str">
        <x:v>미확정</x:v>
      </x:c>
      <x:c r="Q126" s="58" t="str"/>
    </x:row>
    <x:row r="127">
      <x:c r="A127" s="58" t="str"/>
      <x:c r="B127" s="58" t="str"/>
      <x:c r="C127" s="58" t="str"/>
      <x:c r="D127" s="58" t="str"/>
      <x:c r="E127" s="58" t="str"/>
      <x:c r="F127" s="69" t="str"/>
      <x:c r="G127" s="70"/>
      <x:c r="H127" s="58" t="str"/>
      <x:c r="I127" s="66" t="str">
        <x:f>IF(A127="","",MAX(0,G127+L127+IF(K127="Y",G127,0)-IF(J127="취소",G127,0)))</x:f>
      </x:c>
      <x:c r="J127" s="58" t="str"/>
      <x:c r="K127" s="58" t="str"/>
      <x:c r="L127" s="70"/>
      <x:c r="M127" s="66" t="n">
        <x:f>IF(P127="확정",I127,0)</x:f>
        <x:v>0</x:v>
      </x:c>
      <x:c r="N127" s="58" t="str"/>
      <x:c r="O127" s="58" t="str"/>
      <x:c r="P127" s="58" t="str">
        <x:v>미확정</x:v>
      </x:c>
      <x:c r="Q127" s="58" t="str"/>
    </x:row>
    <x:row r="128">
      <x:c r="A128" s="58" t="str"/>
      <x:c r="B128" s="58" t="str"/>
      <x:c r="C128" s="58" t="str"/>
      <x:c r="D128" s="58" t="str"/>
      <x:c r="E128" s="58" t="str"/>
      <x:c r="F128" s="69" t="str"/>
      <x:c r="G128" s="70"/>
      <x:c r="H128" s="58" t="str"/>
      <x:c r="I128" s="66" t="str">
        <x:f>IF(A128="","",MAX(0,G128+L128+IF(K128="Y",G128,0)-IF(J128="취소",G128,0)))</x:f>
      </x:c>
      <x:c r="J128" s="58" t="str"/>
      <x:c r="K128" s="58" t="str"/>
      <x:c r="L128" s="70"/>
      <x:c r="M128" s="66" t="n">
        <x:f>IF(P128="확정",I128,0)</x:f>
        <x:v>0</x:v>
      </x:c>
      <x:c r="N128" s="58" t="str"/>
      <x:c r="O128" s="58" t="str"/>
      <x:c r="P128" s="58" t="str">
        <x:v>미확정</x:v>
      </x:c>
      <x:c r="Q128" s="58" t="str"/>
    </x:row>
    <x:row r="129">
      <x:c r="A129" s="58" t="str"/>
      <x:c r="B129" s="58" t="str"/>
      <x:c r="C129" s="58" t="str"/>
      <x:c r="D129" s="58" t="str"/>
      <x:c r="E129" s="58" t="str"/>
      <x:c r="F129" s="69" t="str"/>
      <x:c r="G129" s="70"/>
      <x:c r="H129" s="58" t="str"/>
      <x:c r="I129" s="66" t="str">
        <x:f>IF(A129="","",MAX(0,G129+L129+IF(K129="Y",G129,0)-IF(J129="취소",G129,0)))</x:f>
      </x:c>
      <x:c r="J129" s="58" t="str"/>
      <x:c r="K129" s="58" t="str"/>
      <x:c r="L129" s="70"/>
      <x:c r="M129" s="66" t="n">
        <x:f>IF(P129="확정",I129,0)</x:f>
        <x:v>0</x:v>
      </x:c>
      <x:c r="N129" s="58" t="str"/>
      <x:c r="O129" s="58" t="str"/>
      <x:c r="P129" s="58" t="str">
        <x:v>미확정</x:v>
      </x:c>
      <x:c r="Q129" s="58" t="str"/>
    </x:row>
    <x:row r="130">
      <x:c r="A130" s="58" t="str"/>
      <x:c r="B130" s="58" t="str"/>
      <x:c r="C130" s="58" t="str"/>
      <x:c r="D130" s="58" t="str"/>
      <x:c r="E130" s="58" t="str"/>
      <x:c r="F130" s="69" t="str"/>
      <x:c r="G130" s="70"/>
      <x:c r="H130" s="58" t="str"/>
      <x:c r="I130" s="66" t="str">
        <x:f>IF(A130="","",MAX(0,G130+L130+IF(K130="Y",G130,0)-IF(J130="취소",G130,0)))</x:f>
      </x:c>
      <x:c r="J130" s="58" t="str"/>
      <x:c r="K130" s="58" t="str"/>
      <x:c r="L130" s="70"/>
      <x:c r="M130" s="66" t="n">
        <x:f>IF(P130="확정",I130,0)</x:f>
        <x:v>0</x:v>
      </x:c>
      <x:c r="N130" s="58" t="str"/>
      <x:c r="O130" s="58" t="str"/>
      <x:c r="P130" s="58" t="str">
        <x:v>미확정</x:v>
      </x:c>
      <x:c r="Q130" s="58" t="str"/>
    </x:row>
    <x:row r="131">
      <x:c r="A131" s="58" t="str"/>
      <x:c r="B131" s="58" t="str"/>
      <x:c r="C131" s="58" t="str"/>
      <x:c r="D131" s="58" t="str"/>
      <x:c r="E131" s="58" t="str"/>
      <x:c r="F131" s="69" t="str"/>
      <x:c r="G131" s="70"/>
      <x:c r="H131" s="58" t="str"/>
      <x:c r="I131" s="66" t="str">
        <x:f>IF(A131="","",MAX(0,G131+L131+IF(K131="Y",G131,0)-IF(J131="취소",G131,0)))</x:f>
      </x:c>
      <x:c r="J131" s="58" t="str"/>
      <x:c r="K131" s="58" t="str"/>
      <x:c r="L131" s="70"/>
      <x:c r="M131" s="66" t="n">
        <x:f>IF(P131="확정",I131,0)</x:f>
        <x:v>0</x:v>
      </x:c>
      <x:c r="N131" s="58" t="str"/>
      <x:c r="O131" s="58" t="str"/>
      <x:c r="P131" s="58" t="str">
        <x:v>미확정</x:v>
      </x:c>
      <x:c r="Q131" s="58" t="str"/>
    </x:row>
    <x:row r="132">
      <x:c r="A132" s="58" t="str"/>
      <x:c r="B132" s="58" t="str"/>
      <x:c r="C132" s="58" t="str"/>
      <x:c r="D132" s="58" t="str"/>
      <x:c r="E132" s="58" t="str"/>
      <x:c r="F132" s="69" t="str"/>
      <x:c r="G132" s="70"/>
      <x:c r="H132" s="58" t="str"/>
      <x:c r="I132" s="66" t="str">
        <x:f>IF(A132="","",MAX(0,G132+L132+IF(K132="Y",G132,0)-IF(J132="취소",G132,0)))</x:f>
      </x:c>
      <x:c r="J132" s="58" t="str"/>
      <x:c r="K132" s="58" t="str"/>
      <x:c r="L132" s="70"/>
      <x:c r="M132" s="66" t="n">
        <x:f>IF(P132="확정",I132,0)</x:f>
        <x:v>0</x:v>
      </x:c>
      <x:c r="N132" s="58" t="str"/>
      <x:c r="O132" s="58" t="str"/>
      <x:c r="P132" s="58" t="str">
        <x:v>미확정</x:v>
      </x:c>
      <x:c r="Q132" s="58" t="str"/>
    </x:row>
    <x:row r="133">
      <x:c r="A133" s="58" t="str"/>
      <x:c r="B133" s="58" t="str"/>
      <x:c r="C133" s="58" t="str"/>
      <x:c r="D133" s="58" t="str"/>
      <x:c r="E133" s="58" t="str"/>
      <x:c r="F133" s="69" t="str"/>
      <x:c r="G133" s="70"/>
      <x:c r="H133" s="58" t="str"/>
      <x:c r="I133" s="66" t="str">
        <x:f>IF(A133="","",MAX(0,G133+L133+IF(K133="Y",G133,0)-IF(J133="취소",G133,0)))</x:f>
      </x:c>
      <x:c r="J133" s="58" t="str"/>
      <x:c r="K133" s="58" t="str"/>
      <x:c r="L133" s="70"/>
      <x:c r="M133" s="66" t="n">
        <x:f>IF(P133="확정",I133,0)</x:f>
        <x:v>0</x:v>
      </x:c>
      <x:c r="N133" s="58" t="str"/>
      <x:c r="O133" s="58" t="str"/>
      <x:c r="P133" s="58" t="str">
        <x:v>미확정</x:v>
      </x:c>
      <x:c r="Q133" s="58" t="str"/>
    </x:row>
    <x:row r="134">
      <x:c r="A134" s="58" t="str"/>
      <x:c r="B134" s="58" t="str"/>
      <x:c r="C134" s="58" t="str"/>
      <x:c r="D134" s="58" t="str"/>
      <x:c r="E134" s="58" t="str"/>
      <x:c r="F134" s="69" t="str"/>
      <x:c r="G134" s="70"/>
      <x:c r="H134" s="58" t="str"/>
      <x:c r="I134" s="66" t="str">
        <x:f>IF(A134="","",MAX(0,G134+L134+IF(K134="Y",G134,0)-IF(J134="취소",G134,0)))</x:f>
      </x:c>
      <x:c r="J134" s="58" t="str"/>
      <x:c r="K134" s="58" t="str"/>
      <x:c r="L134" s="70"/>
      <x:c r="M134" s="66" t="n">
        <x:f>IF(P134="확정",I134,0)</x:f>
        <x:v>0</x:v>
      </x:c>
      <x:c r="N134" s="58" t="str"/>
      <x:c r="O134" s="58" t="str"/>
      <x:c r="P134" s="58" t="str">
        <x:v>미확정</x:v>
      </x:c>
      <x:c r="Q134" s="58" t="str"/>
    </x:row>
    <x:row r="135">
      <x:c r="A135" s="58" t="str"/>
      <x:c r="B135" s="58" t="str"/>
      <x:c r="C135" s="58" t="str"/>
      <x:c r="D135" s="58" t="str"/>
      <x:c r="E135" s="58" t="str"/>
      <x:c r="F135" s="69" t="str"/>
      <x:c r="G135" s="70"/>
      <x:c r="H135" s="58" t="str"/>
      <x:c r="I135" s="66" t="str">
        <x:f>IF(A135="","",MAX(0,G135+L135+IF(K135="Y",G135,0)-IF(J135="취소",G135,0)))</x:f>
      </x:c>
      <x:c r="J135" s="58" t="str"/>
      <x:c r="K135" s="58" t="str"/>
      <x:c r="L135" s="70"/>
      <x:c r="M135" s="66" t="n">
        <x:f>IF(P135="확정",I135,0)</x:f>
        <x:v>0</x:v>
      </x:c>
      <x:c r="N135" s="58" t="str"/>
      <x:c r="O135" s="58" t="str"/>
      <x:c r="P135" s="58" t="str">
        <x:v>미확정</x:v>
      </x:c>
      <x:c r="Q135" s="58" t="str"/>
    </x:row>
    <x:row r="136">
      <x:c r="A136" s="58" t="str"/>
      <x:c r="B136" s="58" t="str"/>
      <x:c r="C136" s="58" t="str"/>
      <x:c r="D136" s="58" t="str"/>
      <x:c r="E136" s="58" t="str"/>
      <x:c r="F136" s="69" t="str"/>
      <x:c r="G136" s="70"/>
      <x:c r="H136" s="58" t="str"/>
      <x:c r="I136" s="66" t="str">
        <x:f>IF(A136="","",MAX(0,G136+L136+IF(K136="Y",G136,0)-IF(J136="취소",G136,0)))</x:f>
      </x:c>
      <x:c r="J136" s="58" t="str"/>
      <x:c r="K136" s="58" t="str"/>
      <x:c r="L136" s="70"/>
      <x:c r="M136" s="66" t="n">
        <x:f>IF(P136="확정",I136,0)</x:f>
        <x:v>0</x:v>
      </x:c>
      <x:c r="N136" s="58" t="str"/>
      <x:c r="O136" s="58" t="str"/>
      <x:c r="P136" s="58" t="str">
        <x:v>미확정</x:v>
      </x:c>
      <x:c r="Q136" s="58" t="str"/>
    </x:row>
    <x:row r="137">
      <x:c r="A137" s="58" t="str"/>
      <x:c r="B137" s="58" t="str"/>
      <x:c r="C137" s="58" t="str"/>
      <x:c r="D137" s="58" t="str"/>
      <x:c r="E137" s="58" t="str"/>
      <x:c r="F137" s="69" t="str"/>
      <x:c r="G137" s="70"/>
      <x:c r="H137" s="58" t="str"/>
      <x:c r="I137" s="66" t="str">
        <x:f>IF(A137="","",MAX(0,G137+L137+IF(K137="Y",G137,0)-IF(J137="취소",G137,0)))</x:f>
      </x:c>
      <x:c r="J137" s="58" t="str"/>
      <x:c r="K137" s="58" t="str"/>
      <x:c r="L137" s="70"/>
      <x:c r="M137" s="66" t="n">
        <x:f>IF(P137="확정",I137,0)</x:f>
        <x:v>0</x:v>
      </x:c>
      <x:c r="N137" s="58" t="str"/>
      <x:c r="O137" s="58" t="str"/>
      <x:c r="P137" s="58" t="str">
        <x:v>미확정</x:v>
      </x:c>
      <x:c r="Q137" s="58" t="str"/>
    </x:row>
    <x:row r="138">
      <x:c r="A138" s="58" t="str"/>
      <x:c r="B138" s="58" t="str"/>
      <x:c r="C138" s="58" t="str"/>
      <x:c r="D138" s="58" t="str"/>
      <x:c r="E138" s="58" t="str"/>
      <x:c r="F138" s="69" t="str"/>
      <x:c r="G138" s="70"/>
      <x:c r="H138" s="58" t="str"/>
      <x:c r="I138" s="66" t="str">
        <x:f>IF(A138="","",MAX(0,G138+L138+IF(K138="Y",G138,0)-IF(J138="취소",G138,0)))</x:f>
      </x:c>
      <x:c r="J138" s="58" t="str"/>
      <x:c r="K138" s="58" t="str"/>
      <x:c r="L138" s="70"/>
      <x:c r="M138" s="66" t="n">
        <x:f>IF(P138="확정",I138,0)</x:f>
        <x:v>0</x:v>
      </x:c>
      <x:c r="N138" s="58" t="str"/>
      <x:c r="O138" s="58" t="str"/>
      <x:c r="P138" s="58" t="str">
        <x:v>미확정</x:v>
      </x:c>
      <x:c r="Q138" s="58" t="str"/>
    </x:row>
    <x:row r="139">
      <x:c r="A139" s="58" t="str"/>
      <x:c r="B139" s="58" t="str"/>
      <x:c r="C139" s="58" t="str"/>
      <x:c r="D139" s="58" t="str"/>
      <x:c r="E139" s="58" t="str"/>
      <x:c r="F139" s="69" t="str"/>
      <x:c r="G139" s="70"/>
      <x:c r="H139" s="58" t="str"/>
      <x:c r="I139" s="66" t="str">
        <x:f>IF(A139="","",MAX(0,G139+L139+IF(K139="Y",G139,0)-IF(J139="취소",G139,0)))</x:f>
      </x:c>
      <x:c r="J139" s="58" t="str"/>
      <x:c r="K139" s="58" t="str"/>
      <x:c r="L139" s="70"/>
      <x:c r="M139" s="66" t="n">
        <x:f>IF(P139="확정",I139,0)</x:f>
        <x:v>0</x:v>
      </x:c>
      <x:c r="N139" s="58" t="str"/>
      <x:c r="O139" s="58" t="str"/>
      <x:c r="P139" s="58" t="str">
        <x:v>미확정</x:v>
      </x:c>
      <x:c r="Q139" s="58" t="str"/>
    </x:row>
    <x:row r="140">
      <x:c r="A140" s="58" t="str"/>
      <x:c r="B140" s="58" t="str"/>
      <x:c r="C140" s="58" t="str"/>
      <x:c r="D140" s="58" t="str"/>
      <x:c r="E140" s="58" t="str"/>
      <x:c r="F140" s="69" t="str"/>
      <x:c r="G140" s="70"/>
      <x:c r="H140" s="58" t="str"/>
      <x:c r="I140" s="66" t="str">
        <x:f>IF(A140="","",MAX(0,G140+L140+IF(K140="Y",G140,0)-IF(J140="취소",G140,0)))</x:f>
      </x:c>
      <x:c r="J140" s="58" t="str"/>
      <x:c r="K140" s="58" t="str"/>
      <x:c r="L140" s="70"/>
      <x:c r="M140" s="66" t="n">
        <x:f>IF(P140="확정",I140,0)</x:f>
        <x:v>0</x:v>
      </x:c>
      <x:c r="N140" s="58" t="str"/>
      <x:c r="O140" s="58" t="str"/>
      <x:c r="P140" s="58" t="str">
        <x:v>미확정</x:v>
      </x:c>
      <x:c r="Q140" s="58" t="str"/>
    </x:row>
    <x:row r="141">
      <x:c r="A141" s="58" t="str"/>
      <x:c r="B141" s="58" t="str"/>
      <x:c r="C141" s="58" t="str"/>
      <x:c r="D141" s="58" t="str"/>
      <x:c r="E141" s="58" t="str"/>
      <x:c r="F141" s="69" t="str"/>
      <x:c r="G141" s="70"/>
      <x:c r="H141" s="58" t="str"/>
      <x:c r="I141" s="66" t="str">
        <x:f>IF(A141="","",MAX(0,G141+L141+IF(K141="Y",G141,0)-IF(J141="취소",G141,0)))</x:f>
      </x:c>
      <x:c r="J141" s="58" t="str"/>
      <x:c r="K141" s="58" t="str"/>
      <x:c r="L141" s="70"/>
      <x:c r="M141" s="66" t="n">
        <x:f>IF(P141="확정",I141,0)</x:f>
        <x:v>0</x:v>
      </x:c>
      <x:c r="N141" s="58" t="str"/>
      <x:c r="O141" s="58" t="str"/>
      <x:c r="P141" s="58" t="str">
        <x:v>미확정</x:v>
      </x:c>
      <x:c r="Q141" s="58" t="str"/>
    </x:row>
    <x:row r="142">
      <x:c r="A142" s="58" t="str"/>
      <x:c r="B142" s="58" t="str"/>
      <x:c r="C142" s="58" t="str"/>
      <x:c r="D142" s="58" t="str"/>
      <x:c r="E142" s="58" t="str"/>
      <x:c r="F142" s="69" t="str"/>
      <x:c r="G142" s="70"/>
      <x:c r="H142" s="58" t="str"/>
      <x:c r="I142" s="66" t="str">
        <x:f>IF(A142="","",MAX(0,G142+L142+IF(K142="Y",G142,0)-IF(J142="취소",G142,0)))</x:f>
      </x:c>
      <x:c r="J142" s="58" t="str"/>
      <x:c r="K142" s="58" t="str"/>
      <x:c r="L142" s="70"/>
      <x:c r="M142" s="66" t="n">
        <x:f>IF(P142="확정",I142,0)</x:f>
        <x:v>0</x:v>
      </x:c>
      <x:c r="N142" s="58" t="str"/>
      <x:c r="O142" s="58" t="str"/>
      <x:c r="P142" s="58" t="str">
        <x:v>미확정</x:v>
      </x:c>
      <x:c r="Q142" s="58" t="str"/>
    </x:row>
    <x:row r="143">
      <x:c r="A143" s="58" t="str"/>
      <x:c r="B143" s="58" t="str"/>
      <x:c r="C143" s="58" t="str"/>
      <x:c r="D143" s="58" t="str"/>
      <x:c r="E143" s="58" t="str"/>
      <x:c r="F143" s="69" t="str"/>
      <x:c r="G143" s="70"/>
      <x:c r="H143" s="58" t="str"/>
      <x:c r="I143" s="66" t="str">
        <x:f>IF(A143="","",MAX(0,G143+L143+IF(K143="Y",G143,0)-IF(J143="취소",G143,0)))</x:f>
      </x:c>
      <x:c r="J143" s="58" t="str"/>
      <x:c r="K143" s="58" t="str"/>
      <x:c r="L143" s="70"/>
      <x:c r="M143" s="66" t="n">
        <x:f>IF(P143="확정",I143,0)</x:f>
        <x:v>0</x:v>
      </x:c>
      <x:c r="N143" s="58" t="str"/>
      <x:c r="O143" s="58" t="str"/>
      <x:c r="P143" s="58" t="str">
        <x:v>미확정</x:v>
      </x:c>
      <x:c r="Q143" s="58" t="str"/>
    </x:row>
    <x:row r="144">
      <x:c r="A144" s="58" t="str"/>
      <x:c r="B144" s="58" t="str"/>
      <x:c r="C144" s="58" t="str"/>
      <x:c r="D144" s="58" t="str"/>
      <x:c r="E144" s="58" t="str"/>
      <x:c r="F144" s="69" t="str"/>
      <x:c r="G144" s="70"/>
      <x:c r="H144" s="58" t="str"/>
      <x:c r="I144" s="66" t="str">
        <x:f>IF(A144="","",MAX(0,G144+L144+IF(K144="Y",G144,0)-IF(J144="취소",G144,0)))</x:f>
      </x:c>
      <x:c r="J144" s="58" t="str"/>
      <x:c r="K144" s="58" t="str"/>
      <x:c r="L144" s="70"/>
      <x:c r="M144" s="66" t="n">
        <x:f>IF(P144="확정",I144,0)</x:f>
        <x:v>0</x:v>
      </x:c>
      <x:c r="N144" s="58" t="str"/>
      <x:c r="O144" s="58" t="str"/>
      <x:c r="P144" s="58" t="str">
        <x:v>미확정</x:v>
      </x:c>
      <x:c r="Q144" s="58" t="str"/>
    </x:row>
    <x:row r="145">
      <x:c r="A145" s="58" t="str"/>
      <x:c r="B145" s="58" t="str"/>
      <x:c r="C145" s="58" t="str"/>
      <x:c r="D145" s="58" t="str"/>
      <x:c r="E145" s="58" t="str"/>
      <x:c r="F145" s="69" t="str"/>
      <x:c r="G145" s="70"/>
      <x:c r="H145" s="58" t="str"/>
      <x:c r="I145" s="66" t="str">
        <x:f>IF(A145="","",MAX(0,G145+L145+IF(K145="Y",G145,0)-IF(J145="취소",G145,0)))</x:f>
      </x:c>
      <x:c r="J145" s="58" t="str"/>
      <x:c r="K145" s="58" t="str"/>
      <x:c r="L145" s="70"/>
      <x:c r="M145" s="66" t="n">
        <x:f>IF(P145="확정",I145,0)</x:f>
        <x:v>0</x:v>
      </x:c>
      <x:c r="N145" s="58" t="str"/>
      <x:c r="O145" s="58" t="str"/>
      <x:c r="P145" s="58" t="str">
        <x:v>미확정</x:v>
      </x:c>
      <x:c r="Q145" s="58" t="str"/>
    </x:row>
    <x:row r="146">
      <x:c r="A146" s="58" t="str"/>
      <x:c r="B146" s="58" t="str"/>
      <x:c r="C146" s="58" t="str"/>
      <x:c r="D146" s="58" t="str"/>
      <x:c r="E146" s="58" t="str"/>
      <x:c r="F146" s="69" t="str"/>
      <x:c r="G146" s="70"/>
      <x:c r="H146" s="58" t="str"/>
      <x:c r="I146" s="66" t="str">
        <x:f>IF(A146="","",MAX(0,G146+L146+IF(K146="Y",G146,0)-IF(J146="취소",G146,0)))</x:f>
      </x:c>
      <x:c r="J146" s="58" t="str"/>
      <x:c r="K146" s="58" t="str"/>
      <x:c r="L146" s="70"/>
      <x:c r="M146" s="66" t="n">
        <x:f>IF(P146="확정",I146,0)</x:f>
        <x:v>0</x:v>
      </x:c>
      <x:c r="N146" s="58" t="str"/>
      <x:c r="O146" s="58" t="str"/>
      <x:c r="P146" s="58" t="str">
        <x:v>미확정</x:v>
      </x:c>
      <x:c r="Q146" s="58" t="str"/>
    </x:row>
    <x:row r="147">
      <x:c r="A147" s="58" t="str"/>
      <x:c r="B147" s="58" t="str"/>
      <x:c r="C147" s="58" t="str"/>
      <x:c r="D147" s="58" t="str"/>
      <x:c r="E147" s="58" t="str"/>
      <x:c r="F147" s="69" t="str"/>
      <x:c r="G147" s="70"/>
      <x:c r="H147" s="58" t="str"/>
      <x:c r="I147" s="66" t="str">
        <x:f>IF(A147="","",MAX(0,G147+L147+IF(K147="Y",G147,0)-IF(J147="취소",G147,0)))</x:f>
      </x:c>
      <x:c r="J147" s="58" t="str"/>
      <x:c r="K147" s="58" t="str"/>
      <x:c r="L147" s="70"/>
      <x:c r="M147" s="66" t="n">
        <x:f>IF(P147="확정",I147,0)</x:f>
        <x:v>0</x:v>
      </x:c>
      <x:c r="N147" s="58" t="str"/>
      <x:c r="O147" s="58" t="str"/>
      <x:c r="P147" s="58" t="str">
        <x:v>미확정</x:v>
      </x:c>
      <x:c r="Q147" s="58" t="str"/>
    </x:row>
    <x:row r="148">
      <x:c r="A148" s="58" t="str"/>
      <x:c r="B148" s="58" t="str"/>
      <x:c r="C148" s="58" t="str"/>
      <x:c r="D148" s="58" t="str"/>
      <x:c r="E148" s="58" t="str"/>
      <x:c r="F148" s="69" t="str"/>
      <x:c r="G148" s="70"/>
      <x:c r="H148" s="58" t="str"/>
      <x:c r="I148" s="66" t="str">
        <x:f>IF(A148="","",MAX(0,G148+L148+IF(K148="Y",G148,0)-IF(J148="취소",G148,0)))</x:f>
      </x:c>
      <x:c r="J148" s="58" t="str"/>
      <x:c r="K148" s="58" t="str"/>
      <x:c r="L148" s="70"/>
      <x:c r="M148" s="66" t="n">
        <x:f>IF(P148="확정",I148,0)</x:f>
        <x:v>0</x:v>
      </x:c>
      <x:c r="N148" s="58" t="str"/>
      <x:c r="O148" s="58" t="str"/>
      <x:c r="P148" s="58" t="str">
        <x:v>미확정</x:v>
      </x:c>
      <x:c r="Q148" s="58" t="str"/>
    </x:row>
    <x:row r="149">
      <x:c r="A149" s="58" t="str"/>
      <x:c r="B149" s="58" t="str"/>
      <x:c r="C149" s="58" t="str"/>
      <x:c r="D149" s="58" t="str"/>
      <x:c r="E149" s="58" t="str"/>
      <x:c r="F149" s="69" t="str"/>
      <x:c r="G149" s="70"/>
      <x:c r="H149" s="58" t="str"/>
      <x:c r="I149" s="66" t="str">
        <x:f>IF(A149="","",MAX(0,G149+L149+IF(K149="Y",G149,0)-IF(J149="취소",G149,0)))</x:f>
      </x:c>
      <x:c r="J149" s="58" t="str"/>
      <x:c r="K149" s="58" t="str"/>
      <x:c r="L149" s="70"/>
      <x:c r="M149" s="66" t="n">
        <x:f>IF(P149="확정",I149,0)</x:f>
        <x:v>0</x:v>
      </x:c>
      <x:c r="N149" s="58" t="str"/>
      <x:c r="O149" s="58" t="str"/>
      <x:c r="P149" s="58" t="str">
        <x:v>미확정</x:v>
      </x:c>
      <x:c r="Q149" s="58" t="str"/>
    </x:row>
    <x:row r="150">
      <x:c r="A150" s="58" t="str"/>
      <x:c r="B150" s="58" t="str"/>
      <x:c r="C150" s="58" t="str"/>
      <x:c r="D150" s="58" t="str"/>
      <x:c r="E150" s="58" t="str"/>
      <x:c r="F150" s="69" t="str"/>
      <x:c r="G150" s="70"/>
      <x:c r="H150" s="58" t="str"/>
      <x:c r="I150" s="66" t="str">
        <x:f>IF(A150="","",MAX(0,G150+L150+IF(K150="Y",G150,0)-IF(J150="취소",G150,0)))</x:f>
      </x:c>
      <x:c r="J150" s="58" t="str"/>
      <x:c r="K150" s="58" t="str"/>
      <x:c r="L150" s="70"/>
      <x:c r="M150" s="66" t="n">
        <x:f>IF(P150="확정",I150,0)</x:f>
        <x:v>0</x:v>
      </x:c>
      <x:c r="N150" s="58" t="str"/>
      <x:c r="O150" s="58" t="str"/>
      <x:c r="P150" s="58" t="str">
        <x:v>미확정</x:v>
      </x:c>
      <x:c r="Q150" s="58" t="str"/>
    </x:row>
    <x:row r="151">
      <x:c r="A151" s="58" t="str"/>
      <x:c r="B151" s="58" t="str"/>
      <x:c r="C151" s="58" t="str"/>
      <x:c r="D151" s="58" t="str"/>
      <x:c r="E151" s="58" t="str"/>
      <x:c r="F151" s="69" t="str"/>
      <x:c r="G151" s="70"/>
      <x:c r="H151" s="58" t="str"/>
      <x:c r="I151" s="66" t="str">
        <x:f>IF(A151="","",MAX(0,G151+L151+IF(K151="Y",G151,0)-IF(J151="취소",G151,0)))</x:f>
      </x:c>
      <x:c r="J151" s="58" t="str"/>
      <x:c r="K151" s="58" t="str"/>
      <x:c r="L151" s="70"/>
      <x:c r="M151" s="66" t="n">
        <x:f>IF(P151="확정",I151,0)</x:f>
        <x:v>0</x:v>
      </x:c>
      <x:c r="N151" s="58" t="str"/>
      <x:c r="O151" s="58" t="str"/>
      <x:c r="P151" s="58" t="str">
        <x:v>미확정</x:v>
      </x:c>
      <x:c r="Q151" s="58" t="str"/>
    </x:row>
    <x:row r="152">
      <x:c r="A152" s="58" t="str"/>
      <x:c r="B152" s="58" t="str"/>
      <x:c r="C152" s="58" t="str"/>
      <x:c r="D152" s="58" t="str"/>
      <x:c r="E152" s="58" t="str"/>
      <x:c r="F152" s="69" t="str"/>
      <x:c r="G152" s="70"/>
      <x:c r="H152" s="58" t="str"/>
      <x:c r="I152" s="66" t="str">
        <x:f>IF(A152="","",MAX(0,G152+L152+IF(K152="Y",G152,0)-IF(J152="취소",G152,0)))</x:f>
      </x:c>
      <x:c r="J152" s="58" t="str"/>
      <x:c r="K152" s="58" t="str"/>
      <x:c r="L152" s="70"/>
      <x:c r="M152" s="66" t="n">
        <x:f>IF(P152="확정",I152,0)</x:f>
        <x:v>0</x:v>
      </x:c>
      <x:c r="N152" s="58" t="str"/>
      <x:c r="O152" s="58" t="str"/>
      <x:c r="P152" s="58" t="str">
        <x:v>미확정</x:v>
      </x:c>
      <x:c r="Q152" s="58" t="str"/>
    </x:row>
    <x:row r="153">
      <x:c r="A153" s="58" t="str"/>
      <x:c r="B153" s="58" t="str"/>
      <x:c r="C153" s="58" t="str"/>
      <x:c r="D153" s="58" t="str"/>
      <x:c r="E153" s="58" t="str"/>
      <x:c r="F153" s="69" t="str"/>
      <x:c r="G153" s="70"/>
      <x:c r="H153" s="58" t="str"/>
      <x:c r="I153" s="66" t="str">
        <x:f>IF(A153="","",MAX(0,G153+L153+IF(K153="Y",G153,0)-IF(J153="취소",G153,0)))</x:f>
      </x:c>
      <x:c r="J153" s="58" t="str"/>
      <x:c r="K153" s="58" t="str"/>
      <x:c r="L153" s="70"/>
      <x:c r="M153" s="66" t="n">
        <x:f>IF(P153="확정",I153,0)</x:f>
        <x:v>0</x:v>
      </x:c>
      <x:c r="N153" s="58" t="str"/>
      <x:c r="O153" s="58" t="str"/>
      <x:c r="P153" s="58" t="str">
        <x:v>미확정</x:v>
      </x:c>
      <x:c r="Q153" s="58" t="str"/>
    </x:row>
    <x:row r="154">
      <x:c r="A154" s="58" t="str"/>
      <x:c r="B154" s="58" t="str"/>
      <x:c r="C154" s="58" t="str"/>
      <x:c r="D154" s="58" t="str"/>
      <x:c r="E154" s="58" t="str"/>
      <x:c r="F154" s="69" t="str"/>
      <x:c r="G154" s="70"/>
      <x:c r="H154" s="58" t="str"/>
      <x:c r="I154" s="66" t="str">
        <x:f>IF(A154="","",MAX(0,G154+L154+IF(K154="Y",G154,0)-IF(J154="취소",G154,0)))</x:f>
      </x:c>
      <x:c r="J154" s="58" t="str"/>
      <x:c r="K154" s="58" t="str"/>
      <x:c r="L154" s="70"/>
      <x:c r="M154" s="66" t="n">
        <x:f>IF(P154="확정",I154,0)</x:f>
        <x:v>0</x:v>
      </x:c>
      <x:c r="N154" s="58" t="str"/>
      <x:c r="O154" s="58" t="str"/>
      <x:c r="P154" s="58" t="str">
        <x:v>미확정</x:v>
      </x:c>
      <x:c r="Q154" s="58" t="str"/>
    </x:row>
    <x:row r="155">
      <x:c r="A155" s="58" t="str"/>
      <x:c r="B155" s="58" t="str"/>
      <x:c r="C155" s="58" t="str"/>
      <x:c r="D155" s="58" t="str"/>
      <x:c r="E155" s="58" t="str"/>
      <x:c r="F155" s="69" t="str"/>
      <x:c r="G155" s="70"/>
      <x:c r="H155" s="58" t="str"/>
      <x:c r="I155" s="66" t="str">
        <x:f>IF(A155="","",MAX(0,G155+L155+IF(K155="Y",G155,0)-IF(J155="취소",G155,0)))</x:f>
      </x:c>
      <x:c r="J155" s="58" t="str"/>
      <x:c r="K155" s="58" t="str"/>
      <x:c r="L155" s="70"/>
      <x:c r="M155" s="66" t="n">
        <x:f>IF(P155="확정",I155,0)</x:f>
        <x:v>0</x:v>
      </x:c>
      <x:c r="N155" s="58" t="str"/>
      <x:c r="O155" s="58" t="str"/>
      <x:c r="P155" s="58" t="str">
        <x:v>미확정</x:v>
      </x:c>
      <x:c r="Q155" s="58" t="str"/>
    </x:row>
    <x:row r="156">
      <x:c r="A156" s="58" t="str"/>
      <x:c r="B156" s="58" t="str"/>
      <x:c r="C156" s="58" t="str"/>
      <x:c r="D156" s="58" t="str"/>
      <x:c r="E156" s="58" t="str"/>
      <x:c r="F156" s="69" t="str"/>
      <x:c r="G156" s="70"/>
      <x:c r="H156" s="58" t="str"/>
      <x:c r="I156" s="66" t="str">
        <x:f>IF(A156="","",MAX(0,G156+L156+IF(K156="Y",G156,0)-IF(J156="취소",G156,0)))</x:f>
      </x:c>
      <x:c r="J156" s="58" t="str"/>
      <x:c r="K156" s="58" t="str"/>
      <x:c r="L156" s="70"/>
      <x:c r="M156" s="66" t="n">
        <x:f>IF(P156="확정",I156,0)</x:f>
        <x:v>0</x:v>
      </x:c>
      <x:c r="N156" s="58" t="str"/>
      <x:c r="O156" s="58" t="str"/>
      <x:c r="P156" s="58" t="str">
        <x:v>미확정</x:v>
      </x:c>
      <x:c r="Q156" s="58" t="str"/>
    </x:row>
    <x:row r="157">
      <x:c r="A157" s="58" t="str"/>
      <x:c r="B157" s="58" t="str"/>
      <x:c r="C157" s="58" t="str"/>
      <x:c r="D157" s="58" t="str"/>
      <x:c r="E157" s="58" t="str"/>
      <x:c r="F157" s="69" t="str"/>
      <x:c r="G157" s="70"/>
      <x:c r="H157" s="58" t="str"/>
      <x:c r="I157" s="66" t="str">
        <x:f>IF(A157="","",MAX(0,G157+L157+IF(K157="Y",G157,0)-IF(J157="취소",G157,0)))</x:f>
      </x:c>
      <x:c r="J157" s="58" t="str"/>
      <x:c r="K157" s="58" t="str"/>
      <x:c r="L157" s="70"/>
      <x:c r="M157" s="66" t="n">
        <x:f>IF(P157="확정",I157,0)</x:f>
        <x:v>0</x:v>
      </x:c>
      <x:c r="N157" s="58" t="str"/>
      <x:c r="O157" s="58" t="str"/>
      <x:c r="P157" s="58" t="str">
        <x:v>미확정</x:v>
      </x:c>
      <x:c r="Q157" s="58" t="str"/>
    </x:row>
    <x:row r="158">
      <x:c r="A158" s="58" t="str"/>
      <x:c r="B158" s="58" t="str"/>
      <x:c r="C158" s="58" t="str"/>
      <x:c r="D158" s="58" t="str"/>
      <x:c r="E158" s="58" t="str"/>
      <x:c r="F158" s="69" t="str"/>
      <x:c r="G158" s="70"/>
      <x:c r="H158" s="58" t="str"/>
      <x:c r="I158" s="66" t="str">
        <x:f>IF(A158="","",MAX(0,G158+L158+IF(K158="Y",G158,0)-IF(J158="취소",G158,0)))</x:f>
      </x:c>
      <x:c r="J158" s="58" t="str"/>
      <x:c r="K158" s="58" t="str"/>
      <x:c r="L158" s="70"/>
      <x:c r="M158" s="66" t="n">
        <x:f>IF(P158="확정",I158,0)</x:f>
        <x:v>0</x:v>
      </x:c>
      <x:c r="N158" s="58" t="str"/>
      <x:c r="O158" s="58" t="str"/>
      <x:c r="P158" s="58" t="str">
        <x:v>미확정</x:v>
      </x:c>
      <x:c r="Q158" s="58" t="str"/>
    </x:row>
    <x:row r="159">
      <x:c r="A159" s="58" t="str"/>
      <x:c r="B159" s="58" t="str"/>
      <x:c r="C159" s="58" t="str"/>
      <x:c r="D159" s="58" t="str"/>
      <x:c r="E159" s="58" t="str"/>
      <x:c r="F159" s="69" t="str"/>
      <x:c r="G159" s="70"/>
      <x:c r="H159" s="58" t="str"/>
      <x:c r="I159" s="66" t="str">
        <x:f>IF(A159="","",MAX(0,G159+L159+IF(K159="Y",G159,0)-IF(J159="취소",G159,0)))</x:f>
      </x:c>
      <x:c r="J159" s="58" t="str"/>
      <x:c r="K159" s="58" t="str"/>
      <x:c r="L159" s="70"/>
      <x:c r="M159" s="66" t="n">
        <x:f>IF(P159="확정",I159,0)</x:f>
        <x:v>0</x:v>
      </x:c>
      <x:c r="N159" s="58" t="str"/>
      <x:c r="O159" s="58" t="str"/>
      <x:c r="P159" s="58" t="str">
        <x:v>미확정</x:v>
      </x:c>
      <x:c r="Q159" s="58" t="str"/>
    </x:row>
    <x:row r="160">
      <x:c r="A160" s="58" t="str"/>
      <x:c r="B160" s="58" t="str"/>
      <x:c r="C160" s="58" t="str"/>
      <x:c r="D160" s="58" t="str"/>
      <x:c r="E160" s="58" t="str"/>
      <x:c r="F160" s="69" t="str"/>
      <x:c r="G160" s="70"/>
      <x:c r="H160" s="58" t="str"/>
      <x:c r="I160" s="66" t="str">
        <x:f>IF(A160="","",MAX(0,G160+L160+IF(K160="Y",G160,0)-IF(J160="취소",G160,0)))</x:f>
      </x:c>
      <x:c r="J160" s="58" t="str"/>
      <x:c r="K160" s="58" t="str"/>
      <x:c r="L160" s="70"/>
      <x:c r="M160" s="66" t="n">
        <x:f>IF(P160="확정",I160,0)</x:f>
        <x:v>0</x:v>
      </x:c>
      <x:c r="N160" s="58" t="str"/>
      <x:c r="O160" s="58" t="str"/>
      <x:c r="P160" s="58" t="str">
        <x:v>미확정</x:v>
      </x:c>
      <x:c r="Q160" s="58" t="str"/>
    </x:row>
    <x:row r="161">
      <x:c r="A161" s="58" t="str"/>
      <x:c r="B161" s="58" t="str"/>
      <x:c r="C161" s="58" t="str"/>
      <x:c r="D161" s="58" t="str"/>
      <x:c r="E161" s="58" t="str"/>
      <x:c r="F161" s="69" t="str"/>
      <x:c r="G161" s="70"/>
      <x:c r="H161" s="58" t="str"/>
      <x:c r="I161" s="66" t="str">
        <x:f>IF(A161="","",MAX(0,G161+L161+IF(K161="Y",G161,0)-IF(J161="취소",G161,0)))</x:f>
      </x:c>
      <x:c r="J161" s="58" t="str"/>
      <x:c r="K161" s="58" t="str"/>
      <x:c r="L161" s="70"/>
      <x:c r="M161" s="66" t="n">
        <x:f>IF(P161="확정",I161,0)</x:f>
        <x:v>0</x:v>
      </x:c>
      <x:c r="N161" s="58" t="str"/>
      <x:c r="O161" s="58" t="str"/>
      <x:c r="P161" s="58" t="str">
        <x:v>미확정</x:v>
      </x:c>
      <x:c r="Q161" s="58" t="str"/>
    </x:row>
    <x:row r="162">
      <x:c r="A162" s="58" t="str"/>
      <x:c r="B162" s="58" t="str"/>
      <x:c r="C162" s="58" t="str"/>
      <x:c r="D162" s="58" t="str"/>
      <x:c r="E162" s="58" t="str"/>
      <x:c r="F162" s="69" t="str"/>
      <x:c r="G162" s="70"/>
      <x:c r="H162" s="58" t="str"/>
      <x:c r="I162" s="66" t="str">
        <x:f>IF(A162="","",MAX(0,G162+L162+IF(K162="Y",G162,0)-IF(J162="취소",G162,0)))</x:f>
      </x:c>
      <x:c r="J162" s="58" t="str"/>
      <x:c r="K162" s="58" t="str"/>
      <x:c r="L162" s="70"/>
      <x:c r="M162" s="66" t="n">
        <x:f>IF(P162="확정",I162,0)</x:f>
        <x:v>0</x:v>
      </x:c>
      <x:c r="N162" s="58" t="str"/>
      <x:c r="O162" s="58" t="str"/>
      <x:c r="P162" s="58" t="str">
        <x:v>미확정</x:v>
      </x:c>
      <x:c r="Q162" s="58" t="str"/>
    </x:row>
    <x:row r="163">
      <x:c r="A163" s="58" t="str"/>
      <x:c r="B163" s="58" t="str"/>
      <x:c r="C163" s="58" t="str"/>
      <x:c r="D163" s="58" t="str"/>
      <x:c r="E163" s="58" t="str"/>
      <x:c r="F163" s="69" t="str"/>
      <x:c r="G163" s="70"/>
      <x:c r="H163" s="58" t="str"/>
      <x:c r="I163" s="66" t="str">
        <x:f>IF(A163="","",MAX(0,G163+L163+IF(K163="Y",G163,0)-IF(J163="취소",G163,0)))</x:f>
      </x:c>
      <x:c r="J163" s="58" t="str"/>
      <x:c r="K163" s="58" t="str"/>
      <x:c r="L163" s="70"/>
      <x:c r="M163" s="66" t="n">
        <x:f>IF(P163="확정",I163,0)</x:f>
        <x:v>0</x:v>
      </x:c>
      <x:c r="N163" s="58" t="str"/>
      <x:c r="O163" s="58" t="str"/>
      <x:c r="P163" s="58" t="str">
        <x:v>미확정</x:v>
      </x:c>
      <x:c r="Q163" s="58" t="str"/>
    </x:row>
    <x:row r="164">
      <x:c r="A164" s="58" t="str"/>
      <x:c r="B164" s="58" t="str"/>
      <x:c r="C164" s="58" t="str"/>
      <x:c r="D164" s="58" t="str"/>
      <x:c r="E164" s="58" t="str"/>
      <x:c r="F164" s="69" t="str"/>
      <x:c r="G164" s="70"/>
      <x:c r="H164" s="58" t="str"/>
      <x:c r="I164" s="66" t="str">
        <x:f>IF(A164="","",MAX(0,G164+L164+IF(K164="Y",G164,0)-IF(J164="취소",G164,0)))</x:f>
      </x:c>
      <x:c r="J164" s="58" t="str"/>
      <x:c r="K164" s="58" t="str"/>
      <x:c r="L164" s="70"/>
      <x:c r="M164" s="66" t="n">
        <x:f>IF(P164="확정",I164,0)</x:f>
        <x:v>0</x:v>
      </x:c>
      <x:c r="N164" s="58" t="str"/>
      <x:c r="O164" s="58" t="str"/>
      <x:c r="P164" s="58" t="str">
        <x:v>미확정</x:v>
      </x:c>
      <x:c r="Q164" s="58" t="str"/>
    </x:row>
    <x:row r="165">
      <x:c r="A165" s="58" t="str"/>
      <x:c r="B165" s="58" t="str"/>
      <x:c r="C165" s="58" t="str"/>
      <x:c r="D165" s="58" t="str"/>
      <x:c r="E165" s="58" t="str"/>
      <x:c r="F165" s="69" t="str"/>
      <x:c r="G165" s="70"/>
      <x:c r="H165" s="58" t="str"/>
      <x:c r="I165" s="66" t="str">
        <x:f>IF(A165="","",MAX(0,G165+L165+IF(K165="Y",G165,0)-IF(J165="취소",G165,0)))</x:f>
      </x:c>
      <x:c r="J165" s="58" t="str"/>
      <x:c r="K165" s="58" t="str"/>
      <x:c r="L165" s="70"/>
      <x:c r="M165" s="66" t="n">
        <x:f>IF(P165="확정",I165,0)</x:f>
        <x:v>0</x:v>
      </x:c>
      <x:c r="N165" s="58" t="str"/>
      <x:c r="O165" s="58" t="str"/>
      <x:c r="P165" s="58" t="str">
        <x:v>미확정</x:v>
      </x:c>
      <x:c r="Q165" s="58" t="str"/>
    </x:row>
    <x:row r="166">
      <x:c r="A166" s="58" t="str"/>
      <x:c r="B166" s="58" t="str"/>
      <x:c r="C166" s="58" t="str"/>
      <x:c r="D166" s="58" t="str"/>
      <x:c r="E166" s="58" t="str"/>
      <x:c r="F166" s="69" t="str"/>
      <x:c r="G166" s="70"/>
      <x:c r="H166" s="58" t="str"/>
      <x:c r="I166" s="66" t="str">
        <x:f>IF(A166="","",MAX(0,G166+L166+IF(K166="Y",G166,0)-IF(J166="취소",G166,0)))</x:f>
      </x:c>
      <x:c r="J166" s="58" t="str"/>
      <x:c r="K166" s="58" t="str"/>
      <x:c r="L166" s="70"/>
      <x:c r="M166" s="66" t="n">
        <x:f>IF(P166="확정",I166,0)</x:f>
        <x:v>0</x:v>
      </x:c>
      <x:c r="N166" s="58" t="str"/>
      <x:c r="O166" s="58" t="str"/>
      <x:c r="P166" s="58" t="str">
        <x:v>미확정</x:v>
      </x:c>
      <x:c r="Q166" s="58" t="str"/>
    </x:row>
    <x:row r="167">
      <x:c r="A167" s="58" t="str"/>
      <x:c r="B167" s="58" t="str"/>
      <x:c r="C167" s="58" t="str"/>
      <x:c r="D167" s="58" t="str"/>
      <x:c r="E167" s="58" t="str"/>
      <x:c r="F167" s="69" t="str"/>
      <x:c r="G167" s="70"/>
      <x:c r="H167" s="58" t="str"/>
      <x:c r="I167" s="66" t="str">
        <x:f>IF(A167="","",MAX(0,G167+L167+IF(K167="Y",G167,0)-IF(J167="취소",G167,0)))</x:f>
      </x:c>
      <x:c r="J167" s="58" t="str"/>
      <x:c r="K167" s="58" t="str"/>
      <x:c r="L167" s="70"/>
      <x:c r="M167" s="66" t="n">
        <x:f>IF(P167="확정",I167,0)</x:f>
        <x:v>0</x:v>
      </x:c>
      <x:c r="N167" s="58" t="str"/>
      <x:c r="O167" s="58" t="str"/>
      <x:c r="P167" s="58" t="str">
        <x:v>미확정</x:v>
      </x:c>
      <x:c r="Q167" s="58" t="str"/>
    </x:row>
    <x:row r="168">
      <x:c r="A168" s="58" t="str"/>
      <x:c r="B168" s="58" t="str"/>
      <x:c r="C168" s="58" t="str"/>
      <x:c r="D168" s="58" t="str"/>
      <x:c r="E168" s="58" t="str"/>
      <x:c r="F168" s="69" t="str"/>
      <x:c r="G168" s="70"/>
      <x:c r="H168" s="58" t="str"/>
      <x:c r="I168" s="66" t="str">
        <x:f>IF(A168="","",MAX(0,G168+L168+IF(K168="Y",G168,0)-IF(J168="취소",G168,0)))</x:f>
      </x:c>
      <x:c r="J168" s="58" t="str"/>
      <x:c r="K168" s="58" t="str"/>
      <x:c r="L168" s="70"/>
      <x:c r="M168" s="66" t="n">
        <x:f>IF(P168="확정",I168,0)</x:f>
        <x:v>0</x:v>
      </x:c>
      <x:c r="N168" s="58" t="str"/>
      <x:c r="O168" s="58" t="str"/>
      <x:c r="P168" s="58" t="str">
        <x:v>미확정</x:v>
      </x:c>
      <x:c r="Q168" s="58" t="str"/>
    </x:row>
    <x:row r="169">
      <x:c r="A169" s="58" t="str"/>
      <x:c r="B169" s="58" t="str"/>
      <x:c r="C169" s="58" t="str"/>
      <x:c r="D169" s="58" t="str"/>
      <x:c r="E169" s="58" t="str"/>
      <x:c r="F169" s="69" t="str"/>
      <x:c r="G169" s="70"/>
      <x:c r="H169" s="58" t="str"/>
      <x:c r="I169" s="66" t="str">
        <x:f>IF(A169="","",MAX(0,G169+L169+IF(K169="Y",G169,0)-IF(J169="취소",G169,0)))</x:f>
      </x:c>
      <x:c r="J169" s="58" t="str"/>
      <x:c r="K169" s="58" t="str"/>
      <x:c r="L169" s="70"/>
      <x:c r="M169" s="66" t="n">
        <x:f>IF(P169="확정",I169,0)</x:f>
        <x:v>0</x:v>
      </x:c>
      <x:c r="N169" s="58" t="str"/>
      <x:c r="O169" s="58" t="str"/>
      <x:c r="P169" s="58" t="str">
        <x:v>미확정</x:v>
      </x:c>
      <x:c r="Q169" s="58" t="str"/>
    </x:row>
    <x:row r="170">
      <x:c r="A170" s="58" t="str"/>
      <x:c r="B170" s="58" t="str"/>
      <x:c r="C170" s="58" t="str"/>
      <x:c r="D170" s="58" t="str"/>
      <x:c r="E170" s="58" t="str"/>
      <x:c r="F170" s="69" t="str"/>
      <x:c r="G170" s="70"/>
      <x:c r="H170" s="58" t="str"/>
      <x:c r="I170" s="66" t="str">
        <x:f>IF(A170="","",MAX(0,G170+L170+IF(K170="Y",G170,0)-IF(J170="취소",G170,0)))</x:f>
      </x:c>
      <x:c r="J170" s="58" t="str"/>
      <x:c r="K170" s="58" t="str"/>
      <x:c r="L170" s="70"/>
      <x:c r="M170" s="66" t="n">
        <x:f>IF(P170="확정",I170,0)</x:f>
        <x:v>0</x:v>
      </x:c>
      <x:c r="N170" s="58" t="str"/>
      <x:c r="O170" s="58" t="str"/>
      <x:c r="P170" s="58" t="str">
        <x:v>미확정</x:v>
      </x:c>
      <x:c r="Q170" s="58" t="str"/>
    </x:row>
    <x:row r="171">
      <x:c r="A171" s="58" t="str"/>
      <x:c r="B171" s="58" t="str"/>
      <x:c r="C171" s="58" t="str"/>
      <x:c r="D171" s="58" t="str"/>
      <x:c r="E171" s="58" t="str"/>
      <x:c r="F171" s="69" t="str"/>
      <x:c r="G171" s="70"/>
      <x:c r="H171" s="58" t="str"/>
      <x:c r="I171" s="66" t="str">
        <x:f>IF(A171="","",MAX(0,G171+L171+IF(K171="Y",G171,0)-IF(J171="취소",G171,0)))</x:f>
      </x:c>
      <x:c r="J171" s="58" t="str"/>
      <x:c r="K171" s="58" t="str"/>
      <x:c r="L171" s="70"/>
      <x:c r="M171" s="66" t="n">
        <x:f>IF(P171="확정",I171,0)</x:f>
        <x:v>0</x:v>
      </x:c>
      <x:c r="N171" s="58" t="str"/>
      <x:c r="O171" s="58" t="str"/>
      <x:c r="P171" s="58" t="str">
        <x:v>미확정</x:v>
      </x:c>
      <x:c r="Q171" s="58" t="str"/>
    </x:row>
    <x:row r="172">
      <x:c r="A172" s="58" t="str"/>
      <x:c r="B172" s="58" t="str"/>
      <x:c r="C172" s="58" t="str"/>
      <x:c r="D172" s="58" t="str"/>
      <x:c r="E172" s="58" t="str"/>
      <x:c r="F172" s="69" t="str"/>
      <x:c r="G172" s="70"/>
      <x:c r="H172" s="58" t="str"/>
      <x:c r="I172" s="66" t="str">
        <x:f>IF(A172="","",MAX(0,G172+L172+IF(K172="Y",G172,0)-IF(J172="취소",G172,0)))</x:f>
      </x:c>
      <x:c r="J172" s="58" t="str"/>
      <x:c r="K172" s="58" t="str"/>
      <x:c r="L172" s="70"/>
      <x:c r="M172" s="66" t="n">
        <x:f>IF(P172="확정",I172,0)</x:f>
        <x:v>0</x:v>
      </x:c>
      <x:c r="N172" s="58" t="str"/>
      <x:c r="O172" s="58" t="str"/>
      <x:c r="P172" s="58" t="str">
        <x:v>미확정</x:v>
      </x:c>
      <x:c r="Q172" s="58" t="str"/>
    </x:row>
    <x:row r="173">
      <x:c r="A173" s="58" t="str"/>
      <x:c r="B173" s="58" t="str"/>
      <x:c r="C173" s="58" t="str"/>
      <x:c r="D173" s="58" t="str"/>
      <x:c r="E173" s="58" t="str"/>
      <x:c r="F173" s="69" t="str"/>
      <x:c r="G173" s="70"/>
      <x:c r="H173" s="58" t="str"/>
      <x:c r="I173" s="66" t="str">
        <x:f>IF(A173="","",MAX(0,G173+L173+IF(K173="Y",G173,0)-IF(J173="취소",G173,0)))</x:f>
      </x:c>
      <x:c r="J173" s="58" t="str"/>
      <x:c r="K173" s="58" t="str"/>
      <x:c r="L173" s="70"/>
      <x:c r="M173" s="66" t="n">
        <x:f>IF(P173="확정",I173,0)</x:f>
        <x:v>0</x:v>
      </x:c>
      <x:c r="N173" s="58" t="str"/>
      <x:c r="O173" s="58" t="str"/>
      <x:c r="P173" s="58" t="str">
        <x:v>미확정</x:v>
      </x:c>
      <x:c r="Q173" s="58" t="str"/>
    </x:row>
    <x:row r="174">
      <x:c r="A174" s="58" t="str"/>
      <x:c r="B174" s="58" t="str"/>
      <x:c r="C174" s="58" t="str"/>
      <x:c r="D174" s="58" t="str"/>
      <x:c r="E174" s="58" t="str"/>
      <x:c r="F174" s="69" t="str"/>
      <x:c r="G174" s="70"/>
      <x:c r="H174" s="58" t="str"/>
      <x:c r="I174" s="66" t="str">
        <x:f>IF(A174="","",MAX(0,G174+L174+IF(K174="Y",G174,0)-IF(J174="취소",G174,0)))</x:f>
      </x:c>
      <x:c r="J174" s="58" t="str"/>
      <x:c r="K174" s="58" t="str"/>
      <x:c r="L174" s="70"/>
      <x:c r="M174" s="66" t="n">
        <x:f>IF(P174="확정",I174,0)</x:f>
        <x:v>0</x:v>
      </x:c>
      <x:c r="N174" s="58" t="str"/>
      <x:c r="O174" s="58" t="str"/>
      <x:c r="P174" s="58" t="str">
        <x:v>미확정</x:v>
      </x:c>
      <x:c r="Q174" s="58" t="str"/>
    </x:row>
    <x:row r="175">
      <x:c r="A175" s="58" t="str"/>
      <x:c r="B175" s="58" t="str"/>
      <x:c r="C175" s="58" t="str"/>
      <x:c r="D175" s="58" t="str"/>
      <x:c r="E175" s="58" t="str"/>
      <x:c r="F175" s="69" t="str"/>
      <x:c r="G175" s="70"/>
      <x:c r="H175" s="58" t="str"/>
      <x:c r="I175" s="66" t="str">
        <x:f>IF(A175="","",MAX(0,G175+L175+IF(K175="Y",G175,0)-IF(J175="취소",G175,0)))</x:f>
      </x:c>
      <x:c r="J175" s="58" t="str"/>
      <x:c r="K175" s="58" t="str"/>
      <x:c r="L175" s="70"/>
      <x:c r="M175" s="66" t="n">
        <x:f>IF(P175="확정",I175,0)</x:f>
        <x:v>0</x:v>
      </x:c>
      <x:c r="N175" s="58" t="str"/>
      <x:c r="O175" s="58" t="str"/>
      <x:c r="P175" s="58" t="str">
        <x:v>미확정</x:v>
      </x:c>
      <x:c r="Q175" s="58" t="str"/>
    </x:row>
    <x:row r="176">
      <x:c r="A176" s="58" t="str"/>
      <x:c r="B176" s="58" t="str"/>
      <x:c r="C176" s="58" t="str"/>
      <x:c r="D176" s="58" t="str"/>
      <x:c r="E176" s="58" t="str"/>
      <x:c r="F176" s="69" t="str"/>
      <x:c r="G176" s="70"/>
      <x:c r="H176" s="58" t="str"/>
      <x:c r="I176" s="66" t="str">
        <x:f>IF(A176="","",MAX(0,G176+L176+IF(K176="Y",G176,0)-IF(J176="취소",G176,0)))</x:f>
      </x:c>
      <x:c r="J176" s="58" t="str"/>
      <x:c r="K176" s="58" t="str"/>
      <x:c r="L176" s="70"/>
      <x:c r="M176" s="66" t="n">
        <x:f>IF(P176="확정",I176,0)</x:f>
        <x:v>0</x:v>
      </x:c>
      <x:c r="N176" s="58" t="str"/>
      <x:c r="O176" s="58" t="str"/>
      <x:c r="P176" s="58" t="str">
        <x:v>미확정</x:v>
      </x:c>
      <x:c r="Q176" s="58" t="str"/>
    </x:row>
    <x:row r="177">
      <x:c r="A177" s="58" t="str"/>
      <x:c r="B177" s="58" t="str"/>
      <x:c r="C177" s="58" t="str"/>
      <x:c r="D177" s="58" t="str"/>
      <x:c r="E177" s="58" t="str"/>
      <x:c r="F177" s="69" t="str"/>
      <x:c r="G177" s="70"/>
      <x:c r="H177" s="58" t="str"/>
      <x:c r="I177" s="66" t="str">
        <x:f>IF(A177="","",MAX(0,G177+L177+IF(K177="Y",G177,0)-IF(J177="취소",G177,0)))</x:f>
      </x:c>
      <x:c r="J177" s="58" t="str"/>
      <x:c r="K177" s="58" t="str"/>
      <x:c r="L177" s="70"/>
      <x:c r="M177" s="66" t="n">
        <x:f>IF(P177="확정",I177,0)</x:f>
        <x:v>0</x:v>
      </x:c>
      <x:c r="N177" s="58" t="str"/>
      <x:c r="O177" s="58" t="str"/>
      <x:c r="P177" s="58" t="str">
        <x:v>미확정</x:v>
      </x:c>
      <x:c r="Q177" s="58" t="str"/>
    </x:row>
    <x:row r="178">
      <x:c r="A178" s="58" t="str"/>
      <x:c r="B178" s="58" t="str"/>
      <x:c r="C178" s="58" t="str"/>
      <x:c r="D178" s="58" t="str"/>
      <x:c r="E178" s="58" t="str"/>
      <x:c r="F178" s="69" t="str"/>
      <x:c r="G178" s="70"/>
      <x:c r="H178" s="58" t="str"/>
      <x:c r="I178" s="66" t="str">
        <x:f>IF(A178="","",MAX(0,G178+L178+IF(K178="Y",G178,0)-IF(J178="취소",G178,0)))</x:f>
      </x:c>
      <x:c r="J178" s="58" t="str"/>
      <x:c r="K178" s="58" t="str"/>
      <x:c r="L178" s="70"/>
      <x:c r="M178" s="66" t="n">
        <x:f>IF(P178="확정",I178,0)</x:f>
        <x:v>0</x:v>
      </x:c>
      <x:c r="N178" s="58" t="str"/>
      <x:c r="O178" s="58" t="str"/>
      <x:c r="P178" s="58" t="str">
        <x:v>미확정</x:v>
      </x:c>
      <x:c r="Q178" s="58" t="str"/>
    </x:row>
    <x:row r="179">
      <x:c r="A179" s="58" t="str"/>
      <x:c r="B179" s="58" t="str"/>
      <x:c r="C179" s="58" t="str"/>
      <x:c r="D179" s="58" t="str"/>
      <x:c r="E179" s="58" t="str"/>
      <x:c r="F179" s="69" t="str"/>
      <x:c r="G179" s="70"/>
      <x:c r="H179" s="58" t="str"/>
      <x:c r="I179" s="66" t="str">
        <x:f>IF(A179="","",MAX(0,G179+L179+IF(K179="Y",G179,0)-IF(J179="취소",G179,0)))</x:f>
      </x:c>
      <x:c r="J179" s="58" t="str"/>
      <x:c r="K179" s="58" t="str"/>
      <x:c r="L179" s="70"/>
      <x:c r="M179" s="66" t="n">
        <x:f>IF(P179="확정",I179,0)</x:f>
        <x:v>0</x:v>
      </x:c>
      <x:c r="N179" s="58" t="str"/>
      <x:c r="O179" s="58" t="str"/>
      <x:c r="P179" s="58" t="str">
        <x:v>미확정</x:v>
      </x:c>
      <x:c r="Q179" s="58" t="str"/>
    </x:row>
    <x:row r="180">
      <x:c r="A180" s="58" t="str"/>
      <x:c r="B180" s="58" t="str"/>
      <x:c r="C180" s="58" t="str"/>
      <x:c r="D180" s="58" t="str"/>
      <x:c r="E180" s="58" t="str"/>
      <x:c r="F180" s="69" t="str"/>
      <x:c r="G180" s="70"/>
      <x:c r="H180" s="58" t="str"/>
      <x:c r="I180" s="66" t="str">
        <x:f>IF(A180="","",MAX(0,G180+L180+IF(K180="Y",G180,0)-IF(J180="취소",G180,0)))</x:f>
      </x:c>
      <x:c r="J180" s="58" t="str"/>
      <x:c r="K180" s="58" t="str"/>
      <x:c r="L180" s="70"/>
      <x:c r="M180" s="66" t="n">
        <x:f>IF(P180="확정",I180,0)</x:f>
        <x:v>0</x:v>
      </x:c>
      <x:c r="N180" s="58" t="str"/>
      <x:c r="O180" s="58" t="str"/>
      <x:c r="P180" s="58" t="str">
        <x:v>미확정</x:v>
      </x:c>
      <x:c r="Q180" s="58" t="str"/>
    </x:row>
    <x:row r="181">
      <x:c r="A181" s="58" t="str"/>
      <x:c r="B181" s="58" t="str"/>
      <x:c r="C181" s="58" t="str"/>
      <x:c r="D181" s="58" t="str"/>
      <x:c r="E181" s="58" t="str"/>
      <x:c r="F181" s="69" t="str"/>
      <x:c r="G181" s="70"/>
      <x:c r="H181" s="58" t="str"/>
      <x:c r="I181" s="66" t="str">
        <x:f>IF(A181="","",MAX(0,G181+L181+IF(K181="Y",G181,0)-IF(J181="취소",G181,0)))</x:f>
      </x:c>
      <x:c r="J181" s="58" t="str"/>
      <x:c r="K181" s="58" t="str"/>
      <x:c r="L181" s="70"/>
      <x:c r="M181" s="66" t="n">
        <x:f>IF(P181="확정",I181,0)</x:f>
        <x:v>0</x:v>
      </x:c>
      <x:c r="N181" s="58" t="str"/>
      <x:c r="O181" s="58" t="str"/>
      <x:c r="P181" s="58" t="str">
        <x:v>미확정</x:v>
      </x:c>
      <x:c r="Q181" s="58" t="str"/>
    </x:row>
    <x:row r="182">
      <x:c r="A182" s="58" t="str"/>
      <x:c r="B182" s="58" t="str"/>
      <x:c r="C182" s="58" t="str"/>
      <x:c r="D182" s="58" t="str"/>
      <x:c r="E182" s="58" t="str"/>
      <x:c r="F182" s="69" t="str"/>
      <x:c r="G182" s="70"/>
      <x:c r="H182" s="58" t="str"/>
      <x:c r="I182" s="66" t="str">
        <x:f>IF(A182="","",MAX(0,G182+L182+IF(K182="Y",G182,0)-IF(J182="취소",G182,0)))</x:f>
      </x:c>
      <x:c r="J182" s="58" t="str"/>
      <x:c r="K182" s="58" t="str"/>
      <x:c r="L182" s="70"/>
      <x:c r="M182" s="66" t="n">
        <x:f>IF(P182="확정",I182,0)</x:f>
        <x:v>0</x:v>
      </x:c>
      <x:c r="N182" s="58" t="str"/>
      <x:c r="O182" s="58" t="str"/>
      <x:c r="P182" s="58" t="str">
        <x:v>미확정</x:v>
      </x:c>
      <x:c r="Q182" s="58" t="str"/>
    </x:row>
    <x:row r="183">
      <x:c r="A183" s="58" t="str"/>
      <x:c r="B183" s="58" t="str"/>
      <x:c r="C183" s="58" t="str"/>
      <x:c r="D183" s="58" t="str"/>
      <x:c r="E183" s="58" t="str"/>
      <x:c r="F183" s="69" t="str"/>
      <x:c r="G183" s="70"/>
      <x:c r="H183" s="58" t="str"/>
      <x:c r="I183" s="66" t="str">
        <x:f>IF(A183="","",MAX(0,G183+L183+IF(K183="Y",G183,0)-IF(J183="취소",G183,0)))</x:f>
      </x:c>
      <x:c r="J183" s="58" t="str"/>
      <x:c r="K183" s="58" t="str"/>
      <x:c r="L183" s="70"/>
      <x:c r="M183" s="66" t="n">
        <x:f>IF(P183="확정",I183,0)</x:f>
        <x:v>0</x:v>
      </x:c>
      <x:c r="N183" s="58" t="str"/>
      <x:c r="O183" s="58" t="str"/>
      <x:c r="P183" s="58" t="str">
        <x:v>미확정</x:v>
      </x:c>
      <x:c r="Q183" s="58" t="str"/>
    </x:row>
    <x:row r="184">
      <x:c r="A184" s="58" t="str"/>
      <x:c r="B184" s="58" t="str"/>
      <x:c r="C184" s="58" t="str"/>
      <x:c r="D184" s="58" t="str"/>
      <x:c r="E184" s="58" t="str"/>
      <x:c r="F184" s="69" t="str"/>
      <x:c r="G184" s="70"/>
      <x:c r="H184" s="58" t="str"/>
      <x:c r="I184" s="66" t="str">
        <x:f>IF(A184="","",MAX(0,G184+L184+IF(K184="Y",G184,0)-IF(J184="취소",G184,0)))</x:f>
      </x:c>
      <x:c r="J184" s="58" t="str"/>
      <x:c r="K184" s="58" t="str"/>
      <x:c r="L184" s="70"/>
      <x:c r="M184" s="66" t="n">
        <x:f>IF(P184="확정",I184,0)</x:f>
        <x:v>0</x:v>
      </x:c>
      <x:c r="N184" s="58" t="str"/>
      <x:c r="O184" s="58" t="str"/>
      <x:c r="P184" s="58" t="str">
        <x:v>미확정</x:v>
      </x:c>
      <x:c r="Q184" s="58" t="str"/>
    </x:row>
    <x:row r="185">
      <x:c r="A185" s="58" t="str"/>
      <x:c r="B185" s="58" t="str"/>
      <x:c r="C185" s="58" t="str"/>
      <x:c r="D185" s="58" t="str"/>
      <x:c r="E185" s="58" t="str"/>
      <x:c r="F185" s="69" t="str"/>
      <x:c r="G185" s="70"/>
      <x:c r="H185" s="58" t="str"/>
      <x:c r="I185" s="66" t="str">
        <x:f>IF(A185="","",MAX(0,G185+L185+IF(K185="Y",G185,0)-IF(J185="취소",G185,0)))</x:f>
      </x:c>
      <x:c r="J185" s="58" t="str"/>
      <x:c r="K185" s="58" t="str"/>
      <x:c r="L185" s="70"/>
      <x:c r="M185" s="66" t="n">
        <x:f>IF(P185="확정",I185,0)</x:f>
        <x:v>0</x:v>
      </x:c>
      <x:c r="N185" s="58" t="str"/>
      <x:c r="O185" s="58" t="str"/>
      <x:c r="P185" s="58" t="str">
        <x:v>미확정</x:v>
      </x:c>
      <x:c r="Q185" s="58" t="str"/>
    </x:row>
    <x:row r="186">
      <x:c r="A186" s="58" t="str"/>
      <x:c r="B186" s="58" t="str"/>
      <x:c r="C186" s="58" t="str"/>
      <x:c r="D186" s="58" t="str"/>
      <x:c r="E186" s="58" t="str"/>
      <x:c r="F186" s="69" t="str"/>
      <x:c r="G186" s="70"/>
      <x:c r="H186" s="58" t="str"/>
      <x:c r="I186" s="66" t="str">
        <x:f>IF(A186="","",MAX(0,G186+L186+IF(K186="Y",G186,0)-IF(J186="취소",G186,0)))</x:f>
      </x:c>
      <x:c r="J186" s="58" t="str"/>
      <x:c r="K186" s="58" t="str"/>
      <x:c r="L186" s="70"/>
      <x:c r="M186" s="66" t="n">
        <x:f>IF(P186="확정",I186,0)</x:f>
        <x:v>0</x:v>
      </x:c>
      <x:c r="N186" s="58" t="str"/>
      <x:c r="O186" s="58" t="str"/>
      <x:c r="P186" s="58" t="str">
        <x:v>미확정</x:v>
      </x:c>
      <x:c r="Q186" s="58" t="str"/>
    </x:row>
    <x:row r="187">
      <x:c r="A187" s="58" t="str"/>
      <x:c r="B187" s="58" t="str"/>
      <x:c r="C187" s="58" t="str"/>
      <x:c r="D187" s="58" t="str"/>
      <x:c r="E187" s="58" t="str"/>
      <x:c r="F187" s="69" t="str"/>
      <x:c r="G187" s="70"/>
      <x:c r="H187" s="58" t="str"/>
      <x:c r="I187" s="66" t="str">
        <x:f>IF(A187="","",MAX(0,G187+L187+IF(K187="Y",G187,0)-IF(J187="취소",G187,0)))</x:f>
      </x:c>
      <x:c r="J187" s="58" t="str"/>
      <x:c r="K187" s="58" t="str"/>
      <x:c r="L187" s="70"/>
      <x:c r="M187" s="66" t="n">
        <x:f>IF(P187="확정",I187,0)</x:f>
        <x:v>0</x:v>
      </x:c>
      <x:c r="N187" s="58" t="str"/>
      <x:c r="O187" s="58" t="str"/>
      <x:c r="P187" s="58" t="str">
        <x:v>미확정</x:v>
      </x:c>
      <x:c r="Q187" s="58" t="str"/>
    </x:row>
    <x:row r="188">
      <x:c r="A188" s="58" t="str"/>
      <x:c r="B188" s="58" t="str"/>
      <x:c r="C188" s="58" t="str"/>
      <x:c r="D188" s="58" t="str"/>
      <x:c r="E188" s="58" t="str"/>
      <x:c r="F188" s="69" t="str"/>
      <x:c r="G188" s="70"/>
      <x:c r="H188" s="58" t="str"/>
      <x:c r="I188" s="66" t="str">
        <x:f>IF(A188="","",MAX(0,G188+L188+IF(K188="Y",G188,0)-IF(J188="취소",G188,0)))</x:f>
      </x:c>
      <x:c r="J188" s="58" t="str"/>
      <x:c r="K188" s="58" t="str"/>
      <x:c r="L188" s="70"/>
      <x:c r="M188" s="66" t="n">
        <x:f>IF(P188="확정",I188,0)</x:f>
        <x:v>0</x:v>
      </x:c>
      <x:c r="N188" s="58" t="str"/>
      <x:c r="O188" s="58" t="str"/>
      <x:c r="P188" s="58" t="str">
        <x:v>미확정</x:v>
      </x:c>
      <x:c r="Q188" s="58" t="str"/>
    </x:row>
    <x:row r="189">
      <x:c r="A189" s="58" t="str"/>
      <x:c r="B189" s="58" t="str"/>
      <x:c r="C189" s="58" t="str"/>
      <x:c r="D189" s="58" t="str"/>
      <x:c r="E189" s="58" t="str"/>
      <x:c r="F189" s="69" t="str"/>
      <x:c r="G189" s="70"/>
      <x:c r="H189" s="58" t="str"/>
      <x:c r="I189" s="66" t="str">
        <x:f>IF(A189="","",MAX(0,G189+L189+IF(K189="Y",G189,0)-IF(J189="취소",G189,0)))</x:f>
      </x:c>
      <x:c r="J189" s="58" t="str"/>
      <x:c r="K189" s="58" t="str"/>
      <x:c r="L189" s="70"/>
      <x:c r="M189" s="66" t="n">
        <x:f>IF(P189="확정",I189,0)</x:f>
        <x:v>0</x:v>
      </x:c>
      <x:c r="N189" s="58" t="str"/>
      <x:c r="O189" s="58" t="str"/>
      <x:c r="P189" s="58" t="str">
        <x:v>미확정</x:v>
      </x:c>
      <x:c r="Q189" s="58" t="str"/>
    </x:row>
    <x:row r="190">
      <x:c r="A190" s="58" t="str"/>
      <x:c r="B190" s="58" t="str"/>
      <x:c r="C190" s="58" t="str"/>
      <x:c r="D190" s="58" t="str"/>
      <x:c r="E190" s="58" t="str"/>
      <x:c r="F190" s="69" t="str"/>
      <x:c r="G190" s="70"/>
      <x:c r="H190" s="58" t="str"/>
      <x:c r="I190" s="66" t="str">
        <x:f>IF(A190="","",MAX(0,G190+L190+IF(K190="Y",G190,0)-IF(J190="취소",G190,0)))</x:f>
      </x:c>
      <x:c r="J190" s="58" t="str"/>
      <x:c r="K190" s="58" t="str"/>
      <x:c r="L190" s="70"/>
      <x:c r="M190" s="66" t="n">
        <x:f>IF(P190="확정",I190,0)</x:f>
        <x:v>0</x:v>
      </x:c>
      <x:c r="N190" s="58" t="str"/>
      <x:c r="O190" s="58" t="str"/>
      <x:c r="P190" s="58" t="str">
        <x:v>미확정</x:v>
      </x:c>
      <x:c r="Q190" s="58" t="str"/>
    </x:row>
    <x:row r="191">
      <x:c r="A191" s="58" t="str"/>
      <x:c r="B191" s="58" t="str"/>
      <x:c r="C191" s="58" t="str"/>
      <x:c r="D191" s="58" t="str"/>
      <x:c r="E191" s="58" t="str"/>
      <x:c r="F191" s="69" t="str"/>
      <x:c r="G191" s="70"/>
      <x:c r="H191" s="58" t="str"/>
      <x:c r="I191" s="66" t="str">
        <x:f>IF(A191="","",MAX(0,G191+L191+IF(K191="Y",G191,0)-IF(J191="취소",G191,0)))</x:f>
      </x:c>
      <x:c r="J191" s="58" t="str"/>
      <x:c r="K191" s="58" t="str"/>
      <x:c r="L191" s="70"/>
      <x:c r="M191" s="66" t="n">
        <x:f>IF(P191="확정",I191,0)</x:f>
        <x:v>0</x:v>
      </x:c>
      <x:c r="N191" s="58" t="str"/>
      <x:c r="O191" s="58" t="str"/>
      <x:c r="P191" s="58" t="str">
        <x:v>미확정</x:v>
      </x:c>
      <x:c r="Q191" s="58" t="str"/>
    </x:row>
    <x:row r="192">
      <x:c r="A192" s="58" t="str"/>
      <x:c r="B192" s="58" t="str"/>
      <x:c r="C192" s="58" t="str"/>
      <x:c r="D192" s="58" t="str"/>
      <x:c r="E192" s="58" t="str"/>
      <x:c r="F192" s="69" t="str"/>
      <x:c r="G192" s="70"/>
      <x:c r="H192" s="58" t="str"/>
      <x:c r="I192" s="66" t="str">
        <x:f>IF(A192="","",MAX(0,G192+L192+IF(K192="Y",G192,0)-IF(J192="취소",G192,0)))</x:f>
      </x:c>
      <x:c r="J192" s="58" t="str"/>
      <x:c r="K192" s="58" t="str"/>
      <x:c r="L192" s="70"/>
      <x:c r="M192" s="66" t="n">
        <x:f>IF(P192="확정",I192,0)</x:f>
        <x:v>0</x:v>
      </x:c>
      <x:c r="N192" s="58" t="str"/>
      <x:c r="O192" s="58" t="str"/>
      <x:c r="P192" s="58" t="str">
        <x:v>미확정</x:v>
      </x:c>
      <x:c r="Q192" s="58" t="str"/>
    </x:row>
    <x:row r="193">
      <x:c r="A193" s="58" t="str"/>
      <x:c r="B193" s="58" t="str"/>
      <x:c r="C193" s="58" t="str"/>
      <x:c r="D193" s="58" t="str"/>
      <x:c r="E193" s="58" t="str"/>
      <x:c r="F193" s="69" t="str"/>
      <x:c r="G193" s="70"/>
      <x:c r="H193" s="58" t="str"/>
      <x:c r="I193" s="66" t="str">
        <x:f>IF(A193="","",MAX(0,G193+L193+IF(K193="Y",G193,0)-IF(J193="취소",G193,0)))</x:f>
      </x:c>
      <x:c r="J193" s="58" t="str"/>
      <x:c r="K193" s="58" t="str"/>
      <x:c r="L193" s="70"/>
      <x:c r="M193" s="66" t="n">
        <x:f>IF(P193="확정",I193,0)</x:f>
        <x:v>0</x:v>
      </x:c>
      <x:c r="N193" s="58" t="str"/>
      <x:c r="O193" s="58" t="str"/>
      <x:c r="P193" s="58" t="str">
        <x:v>미확정</x:v>
      </x:c>
      <x:c r="Q193" s="58" t="str"/>
    </x:row>
    <x:row r="194">
      <x:c r="A194" s="58" t="str"/>
      <x:c r="B194" s="58" t="str"/>
      <x:c r="C194" s="58" t="str"/>
      <x:c r="D194" s="58" t="str"/>
      <x:c r="E194" s="58" t="str"/>
      <x:c r="F194" s="69" t="str"/>
      <x:c r="G194" s="70"/>
      <x:c r="H194" s="58" t="str"/>
      <x:c r="I194" s="66" t="str">
        <x:f>IF(A194="","",MAX(0,G194+L194+IF(K194="Y",G194,0)-IF(J194="취소",G194,0)))</x:f>
      </x:c>
      <x:c r="J194" s="58" t="str"/>
      <x:c r="K194" s="58" t="str"/>
      <x:c r="L194" s="70"/>
      <x:c r="M194" s="66" t="n">
        <x:f>IF(P194="확정",I194,0)</x:f>
        <x:v>0</x:v>
      </x:c>
      <x:c r="N194" s="58" t="str"/>
      <x:c r="O194" s="58" t="str"/>
      <x:c r="P194" s="58" t="str">
        <x:v>미확정</x:v>
      </x:c>
      <x:c r="Q194" s="58" t="str"/>
    </x:row>
    <x:row r="195">
      <x:c r="A195" s="58" t="str"/>
      <x:c r="B195" s="58" t="str"/>
      <x:c r="C195" s="58" t="str"/>
      <x:c r="D195" s="58" t="str"/>
      <x:c r="E195" s="58" t="str"/>
      <x:c r="F195" s="69" t="str"/>
      <x:c r="G195" s="70"/>
      <x:c r="H195" s="58" t="str"/>
      <x:c r="I195" s="66" t="str">
        <x:f>IF(A195="","",MAX(0,G195+L195+IF(K195="Y",G195,0)-IF(J195="취소",G195,0)))</x:f>
      </x:c>
      <x:c r="J195" s="58" t="str"/>
      <x:c r="K195" s="58" t="str"/>
      <x:c r="L195" s="70"/>
      <x:c r="M195" s="66" t="n">
        <x:f>IF(P195="확정",I195,0)</x:f>
        <x:v>0</x:v>
      </x:c>
      <x:c r="N195" s="58" t="str"/>
      <x:c r="O195" s="58" t="str"/>
      <x:c r="P195" s="58" t="str">
        <x:v>미확정</x:v>
      </x:c>
      <x:c r="Q195" s="58" t="str"/>
    </x:row>
    <x:row r="196">
      <x:c r="A196" s="58" t="str"/>
      <x:c r="B196" s="58" t="str"/>
      <x:c r="C196" s="58" t="str"/>
      <x:c r="D196" s="58" t="str"/>
      <x:c r="E196" s="58" t="str"/>
      <x:c r="F196" s="69" t="str"/>
      <x:c r="G196" s="70"/>
      <x:c r="H196" s="58" t="str"/>
      <x:c r="I196" s="66" t="str">
        <x:f>IF(A196="","",MAX(0,G196+L196+IF(K196="Y",G196,0)-IF(J196="취소",G196,0)))</x:f>
      </x:c>
      <x:c r="J196" s="58" t="str"/>
      <x:c r="K196" s="58" t="str"/>
      <x:c r="L196" s="70"/>
      <x:c r="M196" s="66" t="n">
        <x:f>IF(P196="확정",I196,0)</x:f>
        <x:v>0</x:v>
      </x:c>
      <x:c r="N196" s="58" t="str"/>
      <x:c r="O196" s="58" t="str"/>
      <x:c r="P196" s="58" t="str">
        <x:v>미확정</x:v>
      </x:c>
      <x:c r="Q196" s="58" t="str"/>
    </x:row>
    <x:row r="197">
      <x:c r="A197" s="58" t="str"/>
      <x:c r="B197" s="58" t="str"/>
      <x:c r="C197" s="58" t="str"/>
      <x:c r="D197" s="58" t="str"/>
      <x:c r="E197" s="58" t="str"/>
      <x:c r="F197" s="69" t="str"/>
      <x:c r="G197" s="70"/>
      <x:c r="H197" s="58" t="str"/>
      <x:c r="I197" s="66" t="str">
        <x:f>IF(A197="","",MAX(0,G197+L197+IF(K197="Y",G197,0)-IF(J197="취소",G197,0)))</x:f>
      </x:c>
      <x:c r="J197" s="58" t="str"/>
      <x:c r="K197" s="58" t="str"/>
      <x:c r="L197" s="70"/>
      <x:c r="M197" s="66" t="n">
        <x:f>IF(P197="확정",I197,0)</x:f>
        <x:v>0</x:v>
      </x:c>
      <x:c r="N197" s="58" t="str"/>
      <x:c r="O197" s="58" t="str"/>
      <x:c r="P197" s="58" t="str">
        <x:v>미확정</x:v>
      </x:c>
      <x:c r="Q197" s="58" t="str"/>
    </x:row>
    <x:row r="198">
      <x:c r="A198" s="58" t="str"/>
      <x:c r="B198" s="58" t="str"/>
      <x:c r="C198" s="58" t="str"/>
      <x:c r="D198" s="58" t="str"/>
      <x:c r="E198" s="58" t="str"/>
      <x:c r="F198" s="69" t="str"/>
      <x:c r="G198" s="70"/>
      <x:c r="H198" s="58" t="str"/>
      <x:c r="I198" s="66" t="str">
        <x:f>IF(A198="","",MAX(0,G198+L198+IF(K198="Y",G198,0)-IF(J198="취소",G198,0)))</x:f>
      </x:c>
      <x:c r="J198" s="58" t="str"/>
      <x:c r="K198" s="58" t="str"/>
      <x:c r="L198" s="70"/>
      <x:c r="M198" s="66" t="n">
        <x:f>IF(P198="확정",I198,0)</x:f>
        <x:v>0</x:v>
      </x:c>
      <x:c r="N198" s="58" t="str"/>
      <x:c r="O198" s="58" t="str"/>
      <x:c r="P198" s="58" t="str">
        <x:v>미확정</x:v>
      </x:c>
      <x:c r="Q198" s="58" t="str"/>
    </x:row>
    <x:row r="199">
      <x:c r="A199" s="58" t="str"/>
      <x:c r="B199" s="58" t="str"/>
      <x:c r="C199" s="58" t="str"/>
      <x:c r="D199" s="58" t="str"/>
      <x:c r="E199" s="58" t="str"/>
      <x:c r="F199" s="69" t="str"/>
      <x:c r="G199" s="70"/>
      <x:c r="H199" s="58" t="str"/>
      <x:c r="I199" s="66" t="str">
        <x:f>IF(A199="","",MAX(0,G199+L199+IF(K199="Y",G199,0)-IF(J199="취소",G199,0)))</x:f>
      </x:c>
      <x:c r="J199" s="58" t="str"/>
      <x:c r="K199" s="58" t="str"/>
      <x:c r="L199" s="70"/>
      <x:c r="M199" s="66" t="n">
        <x:f>IF(P199="확정",I199,0)</x:f>
        <x:v>0</x:v>
      </x:c>
      <x:c r="N199" s="58" t="str"/>
      <x:c r="O199" s="58" t="str"/>
      <x:c r="P199" s="58" t="str">
        <x:v>미확정</x:v>
      </x:c>
      <x:c r="Q199" s="58" t="str"/>
    </x:row>
    <x:row r="200">
      <x:c r="A200" s="58" t="str"/>
      <x:c r="B200" s="58" t="str"/>
      <x:c r="C200" s="58" t="str"/>
      <x:c r="D200" s="58" t="str"/>
      <x:c r="E200" s="58" t="str"/>
      <x:c r="F200" s="69" t="str"/>
      <x:c r="G200" s="70"/>
      <x:c r="H200" s="58" t="str"/>
      <x:c r="I200" s="66" t="str">
        <x:f>IF(A200="","",MAX(0,G200+L200+IF(K200="Y",G200,0)-IF(J200="취소",G200,0)))</x:f>
      </x:c>
      <x:c r="J200" s="58" t="str"/>
      <x:c r="K200" s="58" t="str"/>
      <x:c r="L200" s="70"/>
      <x:c r="M200" s="66" t="n">
        <x:f>IF(P200="확정",I200,0)</x:f>
        <x:v>0</x:v>
      </x:c>
      <x:c r="N200" s="58" t="str"/>
      <x:c r="O200" s="58" t="str"/>
      <x:c r="P200" s="58" t="str">
        <x:v>미확정</x:v>
      </x:c>
      <x:c r="Q200" s="58" t="str"/>
    </x:row>
    <x:row r="201">
      <x:c r="A201" s="58" t="str"/>
      <x:c r="B201" s="58" t="str"/>
      <x:c r="C201" s="58" t="str"/>
      <x:c r="D201" s="58" t="str"/>
      <x:c r="E201" s="58" t="str"/>
      <x:c r="F201" s="69" t="str"/>
      <x:c r="G201" s="70"/>
      <x:c r="H201" s="58" t="str"/>
      <x:c r="I201" s="66" t="str">
        <x:f>IF(A201="","",MAX(0,G201+L201+IF(K201="Y",G201,0)-IF(J201="취소",G201,0)))</x:f>
      </x:c>
      <x:c r="J201" s="58" t="str"/>
      <x:c r="K201" s="58" t="str"/>
      <x:c r="L201" s="70"/>
      <x:c r="M201" s="66" t="n">
        <x:f>IF(P201="확정",I201,0)</x:f>
        <x:v>0</x:v>
      </x:c>
      <x:c r="N201" s="58" t="str"/>
      <x:c r="O201" s="58" t="str"/>
      <x:c r="P201" s="58" t="str">
        <x:v>미확정</x:v>
      </x:c>
      <x:c r="Q201" s="58" t="str"/>
    </x:row>
    <x:row r="202">
      <x:c r="A202" s="58" t="str"/>
      <x:c r="B202" s="58" t="str"/>
      <x:c r="C202" s="58" t="str"/>
      <x:c r="D202" s="58" t="str"/>
      <x:c r="E202" s="58" t="str"/>
      <x:c r="F202" s="69" t="str"/>
      <x:c r="G202" s="70"/>
      <x:c r="H202" s="58" t="str"/>
      <x:c r="I202" s="66" t="str">
        <x:f>IF(A202="","",MAX(0,G202+L202+IF(K202="Y",G202,0)-IF(J202="취소",G202,0)))</x:f>
      </x:c>
      <x:c r="J202" s="58" t="str"/>
      <x:c r="K202" s="58" t="str"/>
      <x:c r="L202" s="70"/>
      <x:c r="M202" s="66" t="n">
        <x:f>IF(P202="확정",I202,0)</x:f>
        <x:v>0</x:v>
      </x:c>
      <x:c r="N202" s="58" t="str"/>
      <x:c r="O202" s="58" t="str"/>
      <x:c r="P202" s="58" t="str">
        <x:v>미확정</x:v>
      </x:c>
      <x:c r="Q202" s="58" t="str"/>
    </x:row>
    <x:row r="203">
      <x:c r="A203" s="58" t="str"/>
      <x:c r="B203" s="58" t="str"/>
      <x:c r="C203" s="58" t="str"/>
      <x:c r="D203" s="58" t="str"/>
      <x:c r="E203" s="58" t="str"/>
      <x:c r="F203" s="69" t="str"/>
      <x:c r="G203" s="70"/>
      <x:c r="H203" s="58" t="str"/>
      <x:c r="I203" s="66" t="str">
        <x:f>IF(A203="","",MAX(0,G203+L203+IF(K203="Y",G203,0)-IF(J203="취소",G203,0)))</x:f>
      </x:c>
      <x:c r="J203" s="58" t="str"/>
      <x:c r="K203" s="58" t="str"/>
      <x:c r="L203" s="70"/>
      <x:c r="M203" s="66" t="n">
        <x:f>IF(P203="확정",I203,0)</x:f>
        <x:v>0</x:v>
      </x:c>
      <x:c r="N203" s="58" t="str"/>
      <x:c r="O203" s="58" t="str"/>
      <x:c r="P203" s="58" t="str">
        <x:v>미확정</x:v>
      </x:c>
      <x:c r="Q203" s="58" t="str"/>
    </x:row>
    <x:row r="204">
      <x:c r="A204" s="58" t="str"/>
      <x:c r="B204" s="58" t="str"/>
      <x:c r="C204" s="58" t="str"/>
      <x:c r="D204" s="58" t="str"/>
      <x:c r="E204" s="58" t="str"/>
      <x:c r="F204" s="69" t="str"/>
      <x:c r="G204" s="70"/>
      <x:c r="H204" s="58" t="str"/>
      <x:c r="I204" s="66" t="str">
        <x:f>IF(A204="","",MAX(0,G204+L204+IF(K204="Y",G204,0)-IF(J204="취소",G204,0)))</x:f>
      </x:c>
      <x:c r="J204" s="58" t="str"/>
      <x:c r="K204" s="58" t="str"/>
      <x:c r="L204" s="70"/>
      <x:c r="M204" s="66" t="n">
        <x:f>IF(P204="확정",I204,0)</x:f>
        <x:v>0</x:v>
      </x:c>
      <x:c r="N204" s="58" t="str"/>
      <x:c r="O204" s="58" t="str"/>
      <x:c r="P204" s="58" t="str">
        <x:v>미확정</x:v>
      </x:c>
      <x:c r="Q204" s="58" t="str"/>
    </x:row>
  </x:sheetData>
  <x:mergeCells>
    <x:mergeCell ref="A1:J1"/>
    <x:mergeCell ref="A2:J2"/>
  </x:mergeCells>
  <x:dataValidations count="6">
    <x:dataValidation type="list" sqref="B5:B204">
      <x:formula1>"OL,SFDC,Bulk-deal,Trend,수급회의"</x:formula1>
    </x:dataValidation>
    <x:dataValidation type="list" sqref="H5:H204">
      <x:formula1>"높음,중간,낮음"</x:formula1>
    </x:dataValidation>
    <x:dataValidation type="list" sqref="J5:J204">
      <x:formula1>"정상,변경,취소"</x:formula1>
    </x:dataValidation>
    <x:dataValidation type="list" sqref="K5:K204">
      <x:formula1>"Y,N"</x:formula1>
    </x:dataValidation>
    <x:dataValidation type="list" sqref="N5:N204">
      <x:formula1>"높음,중간,낮음"</x:formula1>
    </x:dataValidation>
    <x:dataValidation type="list" sqref="P5:P204">
      <x:formula1>"미확정,확정,보류"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cb890ccd2e4b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2" hidden="0" customWidth="1"/>
    <x:col min="5" max="5" width="16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5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26" hidden="0" customWidth="1"/>
  </x:cols>
  <x:sheetData>
    <x:row r="1" ht="28" customHeight="1">
      <x:c r="A1" s="52" t="str">
        <x:v>전월말 재고 및 Open PO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</x:row>
    <x:row r="2">
      <x:c r="A2" s="53" t="str">
        <x:v>재고 상태와 미입고 발주를 분리 입력하여 가용재고를 계산합니다.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</x:row>
    <x:row r="4">
      <x:c r="A4" s="55" t="str">
        <x:v>기준월</x:v>
      </x:c>
      <x:c r="B4" s="55" t="str">
        <x:v>품목구분</x:v>
      </x:c>
      <x:c r="C4" s="55" t="str">
        <x:v>품목코드</x:v>
      </x:c>
      <x:c r="D4" s="55" t="str">
        <x:v>품목명</x:v>
      </x:c>
      <x:c r="E4" s="55" t="str">
        <x:v>Supplier</x:v>
      </x:c>
      <x:c r="F4" s="55" t="str">
        <x:v>창고</x:v>
      </x:c>
      <x:c r="G4" s="55" t="str">
        <x:v>기말재고</x:v>
      </x:c>
      <x:c r="H4" s="55" t="str">
        <x:v>예약/할당</x:v>
      </x:c>
      <x:c r="I4" s="55" t="str">
        <x:v>품질보류</x:v>
      </x:c>
      <x:c r="J4" s="55" t="str">
        <x:v>출고예정</x:v>
      </x:c>
      <x:c r="K4" s="55" t="str">
        <x:v>가용기말재고</x:v>
      </x:c>
      <x:c r="L4" s="55" t="str">
        <x:v>Open PO 수량</x:v>
      </x:c>
      <x:c r="M4" s="55" t="str">
        <x:v>확정입고수량</x:v>
      </x:c>
      <x:c r="N4" s="55" t="str">
        <x:v>입고예정월</x:v>
      </x:c>
      <x:c r="O4" s="55" t="str">
        <x:v>실제 가용재고</x:v>
      </x:c>
      <x:c r="P4" s="55" t="str">
        <x:v>비고</x:v>
      </x:c>
    </x:row>
    <x:row r="5">
      <x:c r="A5" s="58" t="str"/>
      <x:c r="B5" s="58" t="str"/>
      <x:c r="C5" s="58" t="str"/>
      <x:c r="D5" s="58" t="str"/>
      <x:c r="E5" s="58" t="str"/>
      <x:c r="F5" s="58" t="str"/>
      <x:c r="G5" s="70"/>
      <x:c r="H5" s="70"/>
      <x:c r="I5" s="70"/>
      <x:c r="J5" s="70"/>
      <x:c r="K5" s="66" t="str">
        <x:f>IF(C5="","",MAX(0,G5-H5-I5-J5))</x:f>
      </x:c>
      <x:c r="L5" s="70"/>
      <x:c r="M5" s="70"/>
      <x:c r="N5" s="70" t="str"/>
      <x:c r="O5" s="66" t="str">
        <x:f>IF(C5="","",K5+M5)</x:f>
      </x:c>
      <x:c r="P5" s="58" t="str"/>
    </x:row>
    <x:row r="6">
      <x:c r="A6" s="58" t="str"/>
      <x:c r="B6" s="58" t="str"/>
      <x:c r="C6" s="58" t="str"/>
      <x:c r="D6" s="58" t="str"/>
      <x:c r="E6" s="58" t="str"/>
      <x:c r="F6" s="58" t="str"/>
      <x:c r="G6" s="70"/>
      <x:c r="H6" s="70"/>
      <x:c r="I6" s="70"/>
      <x:c r="J6" s="70"/>
      <x:c r="K6" s="66" t="str">
        <x:f>IF(C6="","",MAX(0,G6-H6-I6-J6))</x:f>
      </x:c>
      <x:c r="L6" s="70"/>
      <x:c r="M6" s="70"/>
      <x:c r="N6" s="70" t="str"/>
      <x:c r="O6" s="66" t="str">
        <x:f>IF(C6="","",K6+M6)</x:f>
      </x:c>
      <x:c r="P6" s="58" t="str"/>
    </x:row>
    <x:row r="7">
      <x:c r="A7" s="58" t="str"/>
      <x:c r="B7" s="58" t="str"/>
      <x:c r="C7" s="58" t="str"/>
      <x:c r="D7" s="58" t="str"/>
      <x:c r="E7" s="58" t="str"/>
      <x:c r="F7" s="58" t="str"/>
      <x:c r="G7" s="70"/>
      <x:c r="H7" s="70"/>
      <x:c r="I7" s="70"/>
      <x:c r="J7" s="70"/>
      <x:c r="K7" s="66" t="str">
        <x:f>IF(C7="","",MAX(0,G7-H7-I7-J7))</x:f>
      </x:c>
      <x:c r="L7" s="70"/>
      <x:c r="M7" s="70"/>
      <x:c r="N7" s="70" t="str"/>
      <x:c r="O7" s="66" t="str">
        <x:f>IF(C7="","",K7+M7)</x:f>
      </x:c>
      <x:c r="P7" s="58" t="str"/>
    </x:row>
    <x:row r="8">
      <x:c r="A8" s="58" t="str"/>
      <x:c r="B8" s="58" t="str"/>
      <x:c r="C8" s="58" t="str"/>
      <x:c r="D8" s="58" t="str"/>
      <x:c r="E8" s="58" t="str"/>
      <x:c r="F8" s="58" t="str"/>
      <x:c r="G8" s="70"/>
      <x:c r="H8" s="70"/>
      <x:c r="I8" s="70"/>
      <x:c r="J8" s="70"/>
      <x:c r="K8" s="66" t="str">
        <x:f>IF(C8="","",MAX(0,G8-H8-I8-J8))</x:f>
      </x:c>
      <x:c r="L8" s="70"/>
      <x:c r="M8" s="70"/>
      <x:c r="N8" s="70" t="str"/>
      <x:c r="O8" s="66" t="str">
        <x:f>IF(C8="","",K8+M8)</x:f>
      </x:c>
      <x:c r="P8" s="58" t="str"/>
    </x:row>
    <x:row r="9">
      <x:c r="A9" s="58" t="str"/>
      <x:c r="B9" s="58" t="str"/>
      <x:c r="C9" s="58" t="str"/>
      <x:c r="D9" s="58" t="str"/>
      <x:c r="E9" s="58" t="str"/>
      <x:c r="F9" s="58" t="str"/>
      <x:c r="G9" s="70"/>
      <x:c r="H9" s="70"/>
      <x:c r="I9" s="70"/>
      <x:c r="J9" s="70"/>
      <x:c r="K9" s="66" t="str">
        <x:f>IF(C9="","",MAX(0,G9-H9-I9-J9))</x:f>
      </x:c>
      <x:c r="L9" s="70"/>
      <x:c r="M9" s="70"/>
      <x:c r="N9" s="70" t="str"/>
      <x:c r="O9" s="66" t="str">
        <x:f>IF(C9="","",K9+M9)</x:f>
      </x:c>
      <x:c r="P9" s="58" t="str"/>
    </x:row>
    <x:row r="10">
      <x:c r="A10" s="58" t="str"/>
      <x:c r="B10" s="58" t="str"/>
      <x:c r="C10" s="58" t="str"/>
      <x:c r="D10" s="58" t="str"/>
      <x:c r="E10" s="58" t="str"/>
      <x:c r="F10" s="58" t="str"/>
      <x:c r="G10" s="70"/>
      <x:c r="H10" s="70"/>
      <x:c r="I10" s="70"/>
      <x:c r="J10" s="70"/>
      <x:c r="K10" s="66" t="str">
        <x:f>IF(C10="","",MAX(0,G10-H10-I10-J10))</x:f>
      </x:c>
      <x:c r="L10" s="70"/>
      <x:c r="M10" s="70"/>
      <x:c r="N10" s="70" t="str"/>
      <x:c r="O10" s="66" t="str">
        <x:f>IF(C10="","",K10+M10)</x:f>
      </x:c>
      <x:c r="P10" s="58" t="str"/>
    </x:row>
    <x:row r="11">
      <x:c r="A11" s="58" t="str"/>
      <x:c r="B11" s="58" t="str"/>
      <x:c r="C11" s="58" t="str"/>
      <x:c r="D11" s="58" t="str"/>
      <x:c r="E11" s="58" t="str"/>
      <x:c r="F11" s="58" t="str"/>
      <x:c r="G11" s="70"/>
      <x:c r="H11" s="70"/>
      <x:c r="I11" s="70"/>
      <x:c r="J11" s="70"/>
      <x:c r="K11" s="66" t="str">
        <x:f>IF(C11="","",MAX(0,G11-H11-I11-J11))</x:f>
      </x:c>
      <x:c r="L11" s="70"/>
      <x:c r="M11" s="70"/>
      <x:c r="N11" s="70" t="str"/>
      <x:c r="O11" s="66" t="str">
        <x:f>IF(C11="","",K11+M11)</x:f>
      </x:c>
      <x:c r="P11" s="58" t="str"/>
    </x:row>
    <x:row r="12">
      <x:c r="A12" s="58" t="str"/>
      <x:c r="B12" s="58" t="str"/>
      <x:c r="C12" s="58" t="str"/>
      <x:c r="D12" s="58" t="str"/>
      <x:c r="E12" s="58" t="str"/>
      <x:c r="F12" s="58" t="str"/>
      <x:c r="G12" s="70"/>
      <x:c r="H12" s="70"/>
      <x:c r="I12" s="70"/>
      <x:c r="J12" s="70"/>
      <x:c r="K12" s="66" t="str">
        <x:f>IF(C12="","",MAX(0,G12-H12-I12-J12))</x:f>
      </x:c>
      <x:c r="L12" s="70"/>
      <x:c r="M12" s="70"/>
      <x:c r="N12" s="70" t="str"/>
      <x:c r="O12" s="66" t="str">
        <x:f>IF(C12="","",K12+M12)</x:f>
      </x:c>
      <x:c r="P12" s="58" t="str"/>
    </x:row>
    <x:row r="13">
      <x:c r="A13" s="58" t="str"/>
      <x:c r="B13" s="58" t="str"/>
      <x:c r="C13" s="58" t="str"/>
      <x:c r="D13" s="58" t="str"/>
      <x:c r="E13" s="58" t="str"/>
      <x:c r="F13" s="58" t="str"/>
      <x:c r="G13" s="70"/>
      <x:c r="H13" s="70"/>
      <x:c r="I13" s="70"/>
      <x:c r="J13" s="70"/>
      <x:c r="K13" s="66" t="str">
        <x:f>IF(C13="","",MAX(0,G13-H13-I13-J13))</x:f>
      </x:c>
      <x:c r="L13" s="70"/>
      <x:c r="M13" s="70"/>
      <x:c r="N13" s="70" t="str"/>
      <x:c r="O13" s="66" t="str">
        <x:f>IF(C13="","",K13+M13)</x:f>
      </x:c>
      <x:c r="P13" s="58" t="str"/>
    </x:row>
    <x:row r="14">
      <x:c r="A14" s="58" t="str"/>
      <x:c r="B14" s="58" t="str"/>
      <x:c r="C14" s="58" t="str"/>
      <x:c r="D14" s="58" t="str"/>
      <x:c r="E14" s="58" t="str"/>
      <x:c r="F14" s="58" t="str"/>
      <x:c r="G14" s="70"/>
      <x:c r="H14" s="70"/>
      <x:c r="I14" s="70"/>
      <x:c r="J14" s="70"/>
      <x:c r="K14" s="66" t="str">
        <x:f>IF(C14="","",MAX(0,G14-H14-I14-J14))</x:f>
      </x:c>
      <x:c r="L14" s="70"/>
      <x:c r="M14" s="70"/>
      <x:c r="N14" s="70" t="str"/>
      <x:c r="O14" s="66" t="str">
        <x:f>IF(C14="","",K14+M14)</x:f>
      </x:c>
      <x:c r="P14" s="58" t="str"/>
    </x:row>
    <x:row r="15">
      <x:c r="A15" s="58" t="str"/>
      <x:c r="B15" s="58" t="str"/>
      <x:c r="C15" s="58" t="str"/>
      <x:c r="D15" s="58" t="str"/>
      <x:c r="E15" s="58" t="str"/>
      <x:c r="F15" s="58" t="str"/>
      <x:c r="G15" s="70"/>
      <x:c r="H15" s="70"/>
      <x:c r="I15" s="70"/>
      <x:c r="J15" s="70"/>
      <x:c r="K15" s="66" t="str">
        <x:f>IF(C15="","",MAX(0,G15-H15-I15-J15))</x:f>
      </x:c>
      <x:c r="L15" s="70"/>
      <x:c r="M15" s="70"/>
      <x:c r="N15" s="70" t="str"/>
      <x:c r="O15" s="66" t="str">
        <x:f>IF(C15="","",K15+M15)</x:f>
      </x:c>
      <x:c r="P15" s="58" t="str"/>
    </x:row>
    <x:row r="16">
      <x:c r="A16" s="58" t="str"/>
      <x:c r="B16" s="58" t="str"/>
      <x:c r="C16" s="58" t="str"/>
      <x:c r="D16" s="58" t="str"/>
      <x:c r="E16" s="58" t="str"/>
      <x:c r="F16" s="58" t="str"/>
      <x:c r="G16" s="70"/>
      <x:c r="H16" s="70"/>
      <x:c r="I16" s="70"/>
      <x:c r="J16" s="70"/>
      <x:c r="K16" s="66" t="str">
        <x:f>IF(C16="","",MAX(0,G16-H16-I16-J16))</x:f>
      </x:c>
      <x:c r="L16" s="70"/>
      <x:c r="M16" s="70"/>
      <x:c r="N16" s="70" t="str"/>
      <x:c r="O16" s="66" t="str">
        <x:f>IF(C16="","",K16+M16)</x:f>
      </x:c>
      <x:c r="P16" s="58" t="str"/>
    </x:row>
    <x:row r="17">
      <x:c r="A17" s="58" t="str"/>
      <x:c r="B17" s="58" t="str"/>
      <x:c r="C17" s="58" t="str"/>
      <x:c r="D17" s="58" t="str"/>
      <x:c r="E17" s="58" t="str"/>
      <x:c r="F17" s="58" t="str"/>
      <x:c r="G17" s="70"/>
      <x:c r="H17" s="70"/>
      <x:c r="I17" s="70"/>
      <x:c r="J17" s="70"/>
      <x:c r="K17" s="66" t="str">
        <x:f>IF(C17="","",MAX(0,G17-H17-I17-J17))</x:f>
      </x:c>
      <x:c r="L17" s="70"/>
      <x:c r="M17" s="70"/>
      <x:c r="N17" s="70" t="str"/>
      <x:c r="O17" s="66" t="str">
        <x:f>IF(C17="","",K17+M17)</x:f>
      </x:c>
      <x:c r="P17" s="58" t="str"/>
    </x:row>
    <x:row r="18">
      <x:c r="A18" s="58" t="str"/>
      <x:c r="B18" s="58" t="str"/>
      <x:c r="C18" s="58" t="str"/>
      <x:c r="D18" s="58" t="str"/>
      <x:c r="E18" s="58" t="str"/>
      <x:c r="F18" s="58" t="str"/>
      <x:c r="G18" s="70"/>
      <x:c r="H18" s="70"/>
      <x:c r="I18" s="70"/>
      <x:c r="J18" s="70"/>
      <x:c r="K18" s="66" t="str">
        <x:f>IF(C18="","",MAX(0,G18-H18-I18-J18))</x:f>
      </x:c>
      <x:c r="L18" s="70"/>
      <x:c r="M18" s="70"/>
      <x:c r="N18" s="70" t="str"/>
      <x:c r="O18" s="66" t="str">
        <x:f>IF(C18="","",K18+M18)</x:f>
      </x:c>
      <x:c r="P18" s="58" t="str"/>
    </x:row>
    <x:row r="19">
      <x:c r="A19" s="58" t="str"/>
      <x:c r="B19" s="58" t="str"/>
      <x:c r="C19" s="58" t="str"/>
      <x:c r="D19" s="58" t="str"/>
      <x:c r="E19" s="58" t="str"/>
      <x:c r="F19" s="58" t="str"/>
      <x:c r="G19" s="70"/>
      <x:c r="H19" s="70"/>
      <x:c r="I19" s="70"/>
      <x:c r="J19" s="70"/>
      <x:c r="K19" s="66" t="str">
        <x:f>IF(C19="","",MAX(0,G19-H19-I19-J19))</x:f>
      </x:c>
      <x:c r="L19" s="70"/>
      <x:c r="M19" s="70"/>
      <x:c r="N19" s="70" t="str"/>
      <x:c r="O19" s="66" t="str">
        <x:f>IF(C19="","",K19+M19)</x:f>
      </x:c>
      <x:c r="P19" s="58" t="str"/>
    </x:row>
    <x:row r="20">
      <x:c r="A20" s="58" t="str"/>
      <x:c r="B20" s="58" t="str"/>
      <x:c r="C20" s="58" t="str"/>
      <x:c r="D20" s="58" t="str"/>
      <x:c r="E20" s="58" t="str"/>
      <x:c r="F20" s="58" t="str"/>
      <x:c r="G20" s="70"/>
      <x:c r="H20" s="70"/>
      <x:c r="I20" s="70"/>
      <x:c r="J20" s="70"/>
      <x:c r="K20" s="66" t="str">
        <x:f>IF(C20="","",MAX(0,G20-H20-I20-J20))</x:f>
      </x:c>
      <x:c r="L20" s="70"/>
      <x:c r="M20" s="70"/>
      <x:c r="N20" s="70" t="str"/>
      <x:c r="O20" s="66" t="str">
        <x:f>IF(C20="","",K20+M20)</x:f>
      </x:c>
      <x:c r="P20" s="58" t="str"/>
    </x:row>
    <x:row r="21">
      <x:c r="A21" s="58" t="str"/>
      <x:c r="B21" s="58" t="str"/>
      <x:c r="C21" s="58" t="str"/>
      <x:c r="D21" s="58" t="str"/>
      <x:c r="E21" s="58" t="str"/>
      <x:c r="F21" s="58" t="str"/>
      <x:c r="G21" s="70"/>
      <x:c r="H21" s="70"/>
      <x:c r="I21" s="70"/>
      <x:c r="J21" s="70"/>
      <x:c r="K21" s="66" t="str">
        <x:f>IF(C21="","",MAX(0,G21-H21-I21-J21))</x:f>
      </x:c>
      <x:c r="L21" s="70"/>
      <x:c r="M21" s="70"/>
      <x:c r="N21" s="70" t="str"/>
      <x:c r="O21" s="66" t="str">
        <x:f>IF(C21="","",K21+M21)</x:f>
      </x:c>
      <x:c r="P21" s="58" t="str"/>
    </x:row>
    <x:row r="22">
      <x:c r="A22" s="58" t="str"/>
      <x:c r="B22" s="58" t="str"/>
      <x:c r="C22" s="58" t="str"/>
      <x:c r="D22" s="58" t="str"/>
      <x:c r="E22" s="58" t="str"/>
      <x:c r="F22" s="58" t="str"/>
      <x:c r="G22" s="70"/>
      <x:c r="H22" s="70"/>
      <x:c r="I22" s="70"/>
      <x:c r="J22" s="70"/>
      <x:c r="K22" s="66" t="str">
        <x:f>IF(C22="","",MAX(0,G22-H22-I22-J22))</x:f>
      </x:c>
      <x:c r="L22" s="70"/>
      <x:c r="M22" s="70"/>
      <x:c r="N22" s="70" t="str"/>
      <x:c r="O22" s="66" t="str">
        <x:f>IF(C22="","",K22+M22)</x:f>
      </x:c>
      <x:c r="P22" s="58" t="str"/>
    </x:row>
    <x:row r="23">
      <x:c r="A23" s="58" t="str"/>
      <x:c r="B23" s="58" t="str"/>
      <x:c r="C23" s="58" t="str"/>
      <x:c r="D23" s="58" t="str"/>
      <x:c r="E23" s="58" t="str"/>
      <x:c r="F23" s="58" t="str"/>
      <x:c r="G23" s="70"/>
      <x:c r="H23" s="70"/>
      <x:c r="I23" s="70"/>
      <x:c r="J23" s="70"/>
      <x:c r="K23" s="66" t="str">
        <x:f>IF(C23="","",MAX(0,G23-H23-I23-J23))</x:f>
      </x:c>
      <x:c r="L23" s="70"/>
      <x:c r="M23" s="70"/>
      <x:c r="N23" s="70" t="str"/>
      <x:c r="O23" s="66" t="str">
        <x:f>IF(C23="","",K23+M23)</x:f>
      </x:c>
      <x:c r="P23" s="58" t="str"/>
    </x:row>
    <x:row r="24">
      <x:c r="A24" s="58" t="str"/>
      <x:c r="B24" s="58" t="str"/>
      <x:c r="C24" s="58" t="str"/>
      <x:c r="D24" s="58" t="str"/>
      <x:c r="E24" s="58" t="str"/>
      <x:c r="F24" s="58" t="str"/>
      <x:c r="G24" s="70"/>
      <x:c r="H24" s="70"/>
      <x:c r="I24" s="70"/>
      <x:c r="J24" s="70"/>
      <x:c r="K24" s="66" t="str">
        <x:f>IF(C24="","",MAX(0,G24-H24-I24-J24))</x:f>
      </x:c>
      <x:c r="L24" s="70"/>
      <x:c r="M24" s="70"/>
      <x:c r="N24" s="70" t="str"/>
      <x:c r="O24" s="66" t="str">
        <x:f>IF(C24="","",K24+M24)</x:f>
      </x:c>
      <x:c r="P24" s="58" t="str"/>
    </x:row>
    <x:row r="25">
      <x:c r="A25" s="58" t="str"/>
      <x:c r="B25" s="58" t="str"/>
      <x:c r="C25" s="58" t="str"/>
      <x:c r="D25" s="58" t="str"/>
      <x:c r="E25" s="58" t="str"/>
      <x:c r="F25" s="58" t="str"/>
      <x:c r="G25" s="70"/>
      <x:c r="H25" s="70"/>
      <x:c r="I25" s="70"/>
      <x:c r="J25" s="70"/>
      <x:c r="K25" s="66" t="str">
        <x:f>IF(C25="","",MAX(0,G25-H25-I25-J25))</x:f>
      </x:c>
      <x:c r="L25" s="70"/>
      <x:c r="M25" s="70"/>
      <x:c r="N25" s="70" t="str"/>
      <x:c r="O25" s="66" t="str">
        <x:f>IF(C25="","",K25+M25)</x:f>
      </x:c>
      <x:c r="P25" s="58" t="str"/>
    </x:row>
    <x:row r="26">
      <x:c r="A26" s="58" t="str"/>
      <x:c r="B26" s="58" t="str"/>
      <x:c r="C26" s="58" t="str"/>
      <x:c r="D26" s="58" t="str"/>
      <x:c r="E26" s="58" t="str"/>
      <x:c r="F26" s="58" t="str"/>
      <x:c r="G26" s="70"/>
      <x:c r="H26" s="70"/>
      <x:c r="I26" s="70"/>
      <x:c r="J26" s="70"/>
      <x:c r="K26" s="66" t="str">
        <x:f>IF(C26="","",MAX(0,G26-H26-I26-J26))</x:f>
      </x:c>
      <x:c r="L26" s="70"/>
      <x:c r="M26" s="70"/>
      <x:c r="N26" s="70" t="str"/>
      <x:c r="O26" s="66" t="str">
        <x:f>IF(C26="","",K26+M26)</x:f>
      </x:c>
      <x:c r="P26" s="58" t="str"/>
    </x:row>
    <x:row r="27">
      <x:c r="A27" s="58" t="str"/>
      <x:c r="B27" s="58" t="str"/>
      <x:c r="C27" s="58" t="str"/>
      <x:c r="D27" s="58" t="str"/>
      <x:c r="E27" s="58" t="str"/>
      <x:c r="F27" s="58" t="str"/>
      <x:c r="G27" s="70"/>
      <x:c r="H27" s="70"/>
      <x:c r="I27" s="70"/>
      <x:c r="J27" s="70"/>
      <x:c r="K27" s="66" t="str">
        <x:f>IF(C27="","",MAX(0,G27-H27-I27-J27))</x:f>
      </x:c>
      <x:c r="L27" s="70"/>
      <x:c r="M27" s="70"/>
      <x:c r="N27" s="70" t="str"/>
      <x:c r="O27" s="66" t="str">
        <x:f>IF(C27="","",K27+M27)</x:f>
      </x:c>
      <x:c r="P27" s="58" t="str"/>
    </x:row>
    <x:row r="28">
      <x:c r="A28" s="58" t="str"/>
      <x:c r="B28" s="58" t="str"/>
      <x:c r="C28" s="58" t="str"/>
      <x:c r="D28" s="58" t="str"/>
      <x:c r="E28" s="58" t="str"/>
      <x:c r="F28" s="58" t="str"/>
      <x:c r="G28" s="70"/>
      <x:c r="H28" s="70"/>
      <x:c r="I28" s="70"/>
      <x:c r="J28" s="70"/>
      <x:c r="K28" s="66" t="str">
        <x:f>IF(C28="","",MAX(0,G28-H28-I28-J28))</x:f>
      </x:c>
      <x:c r="L28" s="70"/>
      <x:c r="M28" s="70"/>
      <x:c r="N28" s="70" t="str"/>
      <x:c r="O28" s="66" t="str">
        <x:f>IF(C28="","",K28+M28)</x:f>
      </x:c>
      <x:c r="P28" s="58" t="str"/>
    </x:row>
    <x:row r="29">
      <x:c r="A29" s="58" t="str"/>
      <x:c r="B29" s="58" t="str"/>
      <x:c r="C29" s="58" t="str"/>
      <x:c r="D29" s="58" t="str"/>
      <x:c r="E29" s="58" t="str"/>
      <x:c r="F29" s="58" t="str"/>
      <x:c r="G29" s="70"/>
      <x:c r="H29" s="70"/>
      <x:c r="I29" s="70"/>
      <x:c r="J29" s="70"/>
      <x:c r="K29" s="66" t="str">
        <x:f>IF(C29="","",MAX(0,G29-H29-I29-J29))</x:f>
      </x:c>
      <x:c r="L29" s="70"/>
      <x:c r="M29" s="70"/>
      <x:c r="N29" s="70" t="str"/>
      <x:c r="O29" s="66" t="str">
        <x:f>IF(C29="","",K29+M29)</x:f>
      </x:c>
      <x:c r="P29" s="58" t="str"/>
    </x:row>
    <x:row r="30">
      <x:c r="A30" s="58" t="str"/>
      <x:c r="B30" s="58" t="str"/>
      <x:c r="C30" s="58" t="str"/>
      <x:c r="D30" s="58" t="str"/>
      <x:c r="E30" s="58" t="str"/>
      <x:c r="F30" s="58" t="str"/>
      <x:c r="G30" s="70"/>
      <x:c r="H30" s="70"/>
      <x:c r="I30" s="70"/>
      <x:c r="J30" s="70"/>
      <x:c r="K30" s="66" t="str">
        <x:f>IF(C30="","",MAX(0,G30-H30-I30-J30))</x:f>
      </x:c>
      <x:c r="L30" s="70"/>
      <x:c r="M30" s="70"/>
      <x:c r="N30" s="70" t="str"/>
      <x:c r="O30" s="66" t="str">
        <x:f>IF(C30="","",K30+M30)</x:f>
      </x:c>
      <x:c r="P30" s="58" t="str"/>
    </x:row>
    <x:row r="31">
      <x:c r="A31" s="58" t="str"/>
      <x:c r="B31" s="58" t="str"/>
      <x:c r="C31" s="58" t="str"/>
      <x:c r="D31" s="58" t="str"/>
      <x:c r="E31" s="58" t="str"/>
      <x:c r="F31" s="58" t="str"/>
      <x:c r="G31" s="70"/>
      <x:c r="H31" s="70"/>
      <x:c r="I31" s="70"/>
      <x:c r="J31" s="70"/>
      <x:c r="K31" s="66" t="str">
        <x:f>IF(C31="","",MAX(0,G31-H31-I31-J31))</x:f>
      </x:c>
      <x:c r="L31" s="70"/>
      <x:c r="M31" s="70"/>
      <x:c r="N31" s="70" t="str"/>
      <x:c r="O31" s="66" t="str">
        <x:f>IF(C31="","",K31+M31)</x:f>
      </x:c>
      <x:c r="P31" s="58" t="str"/>
    </x:row>
    <x:row r="32">
      <x:c r="A32" s="58" t="str"/>
      <x:c r="B32" s="58" t="str"/>
      <x:c r="C32" s="58" t="str"/>
      <x:c r="D32" s="58" t="str"/>
      <x:c r="E32" s="58" t="str"/>
      <x:c r="F32" s="58" t="str"/>
      <x:c r="G32" s="70"/>
      <x:c r="H32" s="70"/>
      <x:c r="I32" s="70"/>
      <x:c r="J32" s="70"/>
      <x:c r="K32" s="66" t="str">
        <x:f>IF(C32="","",MAX(0,G32-H32-I32-J32))</x:f>
      </x:c>
      <x:c r="L32" s="70"/>
      <x:c r="M32" s="70"/>
      <x:c r="N32" s="70" t="str"/>
      <x:c r="O32" s="66" t="str">
        <x:f>IF(C32="","",K32+M32)</x:f>
      </x:c>
      <x:c r="P32" s="58" t="str"/>
    </x:row>
    <x:row r="33">
      <x:c r="A33" s="58" t="str"/>
      <x:c r="B33" s="58" t="str"/>
      <x:c r="C33" s="58" t="str"/>
      <x:c r="D33" s="58" t="str"/>
      <x:c r="E33" s="58" t="str"/>
      <x:c r="F33" s="58" t="str"/>
      <x:c r="G33" s="70"/>
      <x:c r="H33" s="70"/>
      <x:c r="I33" s="70"/>
      <x:c r="J33" s="70"/>
      <x:c r="K33" s="66" t="str">
        <x:f>IF(C33="","",MAX(0,G33-H33-I33-J33))</x:f>
      </x:c>
      <x:c r="L33" s="70"/>
      <x:c r="M33" s="70"/>
      <x:c r="N33" s="70" t="str"/>
      <x:c r="O33" s="66" t="str">
        <x:f>IF(C33="","",K33+M33)</x:f>
      </x:c>
      <x:c r="P33" s="58" t="str"/>
    </x:row>
    <x:row r="34">
      <x:c r="A34" s="58" t="str"/>
      <x:c r="B34" s="58" t="str"/>
      <x:c r="C34" s="58" t="str"/>
      <x:c r="D34" s="58" t="str"/>
      <x:c r="E34" s="58" t="str"/>
      <x:c r="F34" s="58" t="str"/>
      <x:c r="G34" s="70"/>
      <x:c r="H34" s="70"/>
      <x:c r="I34" s="70"/>
      <x:c r="J34" s="70"/>
      <x:c r="K34" s="66" t="str">
        <x:f>IF(C34="","",MAX(0,G34-H34-I34-J34))</x:f>
      </x:c>
      <x:c r="L34" s="70"/>
      <x:c r="M34" s="70"/>
      <x:c r="N34" s="70" t="str"/>
      <x:c r="O34" s="66" t="str">
        <x:f>IF(C34="","",K34+M34)</x:f>
      </x:c>
      <x:c r="P34" s="58" t="str"/>
    </x:row>
    <x:row r="35">
      <x:c r="A35" s="58" t="str"/>
      <x:c r="B35" s="58" t="str"/>
      <x:c r="C35" s="58" t="str"/>
      <x:c r="D35" s="58" t="str"/>
      <x:c r="E35" s="58" t="str"/>
      <x:c r="F35" s="58" t="str"/>
      <x:c r="G35" s="70"/>
      <x:c r="H35" s="70"/>
      <x:c r="I35" s="70"/>
      <x:c r="J35" s="70"/>
      <x:c r="K35" s="66" t="str">
        <x:f>IF(C35="","",MAX(0,G35-H35-I35-J35))</x:f>
      </x:c>
      <x:c r="L35" s="70"/>
      <x:c r="M35" s="70"/>
      <x:c r="N35" s="70" t="str"/>
      <x:c r="O35" s="66" t="str">
        <x:f>IF(C35="","",K35+M35)</x:f>
      </x:c>
      <x:c r="P35" s="58" t="str"/>
    </x:row>
    <x:row r="36">
      <x:c r="A36" s="58" t="str"/>
      <x:c r="B36" s="58" t="str"/>
      <x:c r="C36" s="58" t="str"/>
      <x:c r="D36" s="58" t="str"/>
      <x:c r="E36" s="58" t="str"/>
      <x:c r="F36" s="58" t="str"/>
      <x:c r="G36" s="70"/>
      <x:c r="H36" s="70"/>
      <x:c r="I36" s="70"/>
      <x:c r="J36" s="70"/>
      <x:c r="K36" s="66" t="str">
        <x:f>IF(C36="","",MAX(0,G36-H36-I36-J36))</x:f>
      </x:c>
      <x:c r="L36" s="70"/>
      <x:c r="M36" s="70"/>
      <x:c r="N36" s="70" t="str"/>
      <x:c r="O36" s="66" t="str">
        <x:f>IF(C36="","",K36+M36)</x:f>
      </x:c>
      <x:c r="P36" s="58" t="str"/>
    </x:row>
    <x:row r="37">
      <x:c r="A37" s="58" t="str"/>
      <x:c r="B37" s="58" t="str"/>
      <x:c r="C37" s="58" t="str"/>
      <x:c r="D37" s="58" t="str"/>
      <x:c r="E37" s="58" t="str"/>
      <x:c r="F37" s="58" t="str"/>
      <x:c r="G37" s="70"/>
      <x:c r="H37" s="70"/>
      <x:c r="I37" s="70"/>
      <x:c r="J37" s="70"/>
      <x:c r="K37" s="66" t="str">
        <x:f>IF(C37="","",MAX(0,G37-H37-I37-J37))</x:f>
      </x:c>
      <x:c r="L37" s="70"/>
      <x:c r="M37" s="70"/>
      <x:c r="N37" s="70" t="str"/>
      <x:c r="O37" s="66" t="str">
        <x:f>IF(C37="","",K37+M37)</x:f>
      </x:c>
      <x:c r="P37" s="58" t="str"/>
    </x:row>
    <x:row r="38">
      <x:c r="A38" s="58" t="str"/>
      <x:c r="B38" s="58" t="str"/>
      <x:c r="C38" s="58" t="str"/>
      <x:c r="D38" s="58" t="str"/>
      <x:c r="E38" s="58" t="str"/>
      <x:c r="F38" s="58" t="str"/>
      <x:c r="G38" s="70"/>
      <x:c r="H38" s="70"/>
      <x:c r="I38" s="70"/>
      <x:c r="J38" s="70"/>
      <x:c r="K38" s="66" t="str">
        <x:f>IF(C38="","",MAX(0,G38-H38-I38-J38))</x:f>
      </x:c>
      <x:c r="L38" s="70"/>
      <x:c r="M38" s="70"/>
      <x:c r="N38" s="70" t="str"/>
      <x:c r="O38" s="66" t="str">
        <x:f>IF(C38="","",K38+M38)</x:f>
      </x:c>
      <x:c r="P38" s="58" t="str"/>
    </x:row>
    <x:row r="39">
      <x:c r="A39" s="58" t="str"/>
      <x:c r="B39" s="58" t="str"/>
      <x:c r="C39" s="58" t="str"/>
      <x:c r="D39" s="58" t="str"/>
      <x:c r="E39" s="58" t="str"/>
      <x:c r="F39" s="58" t="str"/>
      <x:c r="G39" s="70"/>
      <x:c r="H39" s="70"/>
      <x:c r="I39" s="70"/>
      <x:c r="J39" s="70"/>
      <x:c r="K39" s="66" t="str">
        <x:f>IF(C39="","",MAX(0,G39-H39-I39-J39))</x:f>
      </x:c>
      <x:c r="L39" s="70"/>
      <x:c r="M39" s="70"/>
      <x:c r="N39" s="70" t="str"/>
      <x:c r="O39" s="66" t="str">
        <x:f>IF(C39="","",K39+M39)</x:f>
      </x:c>
      <x:c r="P39" s="58" t="str"/>
    </x:row>
    <x:row r="40">
      <x:c r="A40" s="58" t="str"/>
      <x:c r="B40" s="58" t="str"/>
      <x:c r="C40" s="58" t="str"/>
      <x:c r="D40" s="58" t="str"/>
      <x:c r="E40" s="58" t="str"/>
      <x:c r="F40" s="58" t="str"/>
      <x:c r="G40" s="70"/>
      <x:c r="H40" s="70"/>
      <x:c r="I40" s="70"/>
      <x:c r="J40" s="70"/>
      <x:c r="K40" s="66" t="str">
        <x:f>IF(C40="","",MAX(0,G40-H40-I40-J40))</x:f>
      </x:c>
      <x:c r="L40" s="70"/>
      <x:c r="M40" s="70"/>
      <x:c r="N40" s="70" t="str"/>
      <x:c r="O40" s="66" t="str">
        <x:f>IF(C40="","",K40+M40)</x:f>
      </x:c>
      <x:c r="P40" s="58" t="str"/>
    </x:row>
    <x:row r="41">
      <x:c r="A41" s="58" t="str"/>
      <x:c r="B41" s="58" t="str"/>
      <x:c r="C41" s="58" t="str"/>
      <x:c r="D41" s="58" t="str"/>
      <x:c r="E41" s="58" t="str"/>
      <x:c r="F41" s="58" t="str"/>
      <x:c r="G41" s="70"/>
      <x:c r="H41" s="70"/>
      <x:c r="I41" s="70"/>
      <x:c r="J41" s="70"/>
      <x:c r="K41" s="66" t="str">
        <x:f>IF(C41="","",MAX(0,G41-H41-I41-J41))</x:f>
      </x:c>
      <x:c r="L41" s="70"/>
      <x:c r="M41" s="70"/>
      <x:c r="N41" s="70" t="str"/>
      <x:c r="O41" s="66" t="str">
        <x:f>IF(C41="","",K41+M41)</x:f>
      </x:c>
      <x:c r="P41" s="58" t="str"/>
    </x:row>
    <x:row r="42">
      <x:c r="A42" s="58" t="str"/>
      <x:c r="B42" s="58" t="str"/>
      <x:c r="C42" s="58" t="str"/>
      <x:c r="D42" s="58" t="str"/>
      <x:c r="E42" s="58" t="str"/>
      <x:c r="F42" s="58" t="str"/>
      <x:c r="G42" s="70"/>
      <x:c r="H42" s="70"/>
      <x:c r="I42" s="70"/>
      <x:c r="J42" s="70"/>
      <x:c r="K42" s="66" t="str">
        <x:f>IF(C42="","",MAX(0,G42-H42-I42-J42))</x:f>
      </x:c>
      <x:c r="L42" s="70"/>
      <x:c r="M42" s="70"/>
      <x:c r="N42" s="70" t="str"/>
      <x:c r="O42" s="66" t="str">
        <x:f>IF(C42="","",K42+M42)</x:f>
      </x:c>
      <x:c r="P42" s="58" t="str"/>
    </x:row>
    <x:row r="43">
      <x:c r="A43" s="58" t="str"/>
      <x:c r="B43" s="58" t="str"/>
      <x:c r="C43" s="58" t="str"/>
      <x:c r="D43" s="58" t="str"/>
      <x:c r="E43" s="58" t="str"/>
      <x:c r="F43" s="58" t="str"/>
      <x:c r="G43" s="70"/>
      <x:c r="H43" s="70"/>
      <x:c r="I43" s="70"/>
      <x:c r="J43" s="70"/>
      <x:c r="K43" s="66" t="str">
        <x:f>IF(C43="","",MAX(0,G43-H43-I43-J43))</x:f>
      </x:c>
      <x:c r="L43" s="70"/>
      <x:c r="M43" s="70"/>
      <x:c r="N43" s="70" t="str"/>
      <x:c r="O43" s="66" t="str">
        <x:f>IF(C43="","",K43+M43)</x:f>
      </x:c>
      <x:c r="P43" s="58" t="str"/>
    </x:row>
    <x:row r="44">
      <x:c r="A44" s="58" t="str"/>
      <x:c r="B44" s="58" t="str"/>
      <x:c r="C44" s="58" t="str"/>
      <x:c r="D44" s="58" t="str"/>
      <x:c r="E44" s="58" t="str"/>
      <x:c r="F44" s="58" t="str"/>
      <x:c r="G44" s="70"/>
      <x:c r="H44" s="70"/>
      <x:c r="I44" s="70"/>
      <x:c r="J44" s="70"/>
      <x:c r="K44" s="66" t="str">
        <x:f>IF(C44="","",MAX(0,G44-H44-I44-J44))</x:f>
      </x:c>
      <x:c r="L44" s="70"/>
      <x:c r="M44" s="70"/>
      <x:c r="N44" s="70" t="str"/>
      <x:c r="O44" s="66" t="str">
        <x:f>IF(C44="","",K44+M44)</x:f>
      </x:c>
      <x:c r="P44" s="58" t="str"/>
    </x:row>
    <x:row r="45">
      <x:c r="A45" s="58" t="str"/>
      <x:c r="B45" s="58" t="str"/>
      <x:c r="C45" s="58" t="str"/>
      <x:c r="D45" s="58" t="str"/>
      <x:c r="E45" s="58" t="str"/>
      <x:c r="F45" s="58" t="str"/>
      <x:c r="G45" s="70"/>
      <x:c r="H45" s="70"/>
      <x:c r="I45" s="70"/>
      <x:c r="J45" s="70"/>
      <x:c r="K45" s="66" t="str">
        <x:f>IF(C45="","",MAX(0,G45-H45-I45-J45))</x:f>
      </x:c>
      <x:c r="L45" s="70"/>
      <x:c r="M45" s="70"/>
      <x:c r="N45" s="70" t="str"/>
      <x:c r="O45" s="66" t="str">
        <x:f>IF(C45="","",K45+M45)</x:f>
      </x:c>
      <x:c r="P45" s="58" t="str"/>
    </x:row>
    <x:row r="46">
      <x:c r="A46" s="58" t="str"/>
      <x:c r="B46" s="58" t="str"/>
      <x:c r="C46" s="58" t="str"/>
      <x:c r="D46" s="58" t="str"/>
      <x:c r="E46" s="58" t="str"/>
      <x:c r="F46" s="58" t="str"/>
      <x:c r="G46" s="70"/>
      <x:c r="H46" s="70"/>
      <x:c r="I46" s="70"/>
      <x:c r="J46" s="70"/>
      <x:c r="K46" s="66" t="str">
        <x:f>IF(C46="","",MAX(0,G46-H46-I46-J46))</x:f>
      </x:c>
      <x:c r="L46" s="70"/>
      <x:c r="M46" s="70"/>
      <x:c r="N46" s="70" t="str"/>
      <x:c r="O46" s="66" t="str">
        <x:f>IF(C46="","",K46+M46)</x:f>
      </x:c>
      <x:c r="P46" s="58" t="str"/>
    </x:row>
    <x:row r="47">
      <x:c r="A47" s="58" t="str"/>
      <x:c r="B47" s="58" t="str"/>
      <x:c r="C47" s="58" t="str"/>
      <x:c r="D47" s="58" t="str"/>
      <x:c r="E47" s="58" t="str"/>
      <x:c r="F47" s="58" t="str"/>
      <x:c r="G47" s="70"/>
      <x:c r="H47" s="70"/>
      <x:c r="I47" s="70"/>
      <x:c r="J47" s="70"/>
      <x:c r="K47" s="66" t="str">
        <x:f>IF(C47="","",MAX(0,G47-H47-I47-J47))</x:f>
      </x:c>
      <x:c r="L47" s="70"/>
      <x:c r="M47" s="70"/>
      <x:c r="N47" s="70" t="str"/>
      <x:c r="O47" s="66" t="str">
        <x:f>IF(C47="","",K47+M47)</x:f>
      </x:c>
      <x:c r="P47" s="58" t="str"/>
    </x:row>
    <x:row r="48">
      <x:c r="A48" s="58" t="str"/>
      <x:c r="B48" s="58" t="str"/>
      <x:c r="C48" s="58" t="str"/>
      <x:c r="D48" s="58" t="str"/>
      <x:c r="E48" s="58" t="str"/>
      <x:c r="F48" s="58" t="str"/>
      <x:c r="G48" s="70"/>
      <x:c r="H48" s="70"/>
      <x:c r="I48" s="70"/>
      <x:c r="J48" s="70"/>
      <x:c r="K48" s="66" t="str">
        <x:f>IF(C48="","",MAX(0,G48-H48-I48-J48))</x:f>
      </x:c>
      <x:c r="L48" s="70"/>
      <x:c r="M48" s="70"/>
      <x:c r="N48" s="70" t="str"/>
      <x:c r="O48" s="66" t="str">
        <x:f>IF(C48="","",K48+M48)</x:f>
      </x:c>
      <x:c r="P48" s="58" t="str"/>
    </x:row>
    <x:row r="49">
      <x:c r="A49" s="58" t="str"/>
      <x:c r="B49" s="58" t="str"/>
      <x:c r="C49" s="58" t="str"/>
      <x:c r="D49" s="58" t="str"/>
      <x:c r="E49" s="58" t="str"/>
      <x:c r="F49" s="58" t="str"/>
      <x:c r="G49" s="70"/>
      <x:c r="H49" s="70"/>
      <x:c r="I49" s="70"/>
      <x:c r="J49" s="70"/>
      <x:c r="K49" s="66" t="str">
        <x:f>IF(C49="","",MAX(0,G49-H49-I49-J49))</x:f>
      </x:c>
      <x:c r="L49" s="70"/>
      <x:c r="M49" s="70"/>
      <x:c r="N49" s="70" t="str"/>
      <x:c r="O49" s="66" t="str">
        <x:f>IF(C49="","",K49+M49)</x:f>
      </x:c>
      <x:c r="P49" s="58" t="str"/>
    </x:row>
    <x:row r="50">
      <x:c r="A50" s="58" t="str"/>
      <x:c r="B50" s="58" t="str"/>
      <x:c r="C50" s="58" t="str"/>
      <x:c r="D50" s="58" t="str"/>
      <x:c r="E50" s="58" t="str"/>
      <x:c r="F50" s="58" t="str"/>
      <x:c r="G50" s="70"/>
      <x:c r="H50" s="70"/>
      <x:c r="I50" s="70"/>
      <x:c r="J50" s="70"/>
      <x:c r="K50" s="66" t="str">
        <x:f>IF(C50="","",MAX(0,G50-H50-I50-J50))</x:f>
      </x:c>
      <x:c r="L50" s="70"/>
      <x:c r="M50" s="70"/>
      <x:c r="N50" s="70" t="str"/>
      <x:c r="O50" s="66" t="str">
        <x:f>IF(C50="","",K50+M50)</x:f>
      </x:c>
      <x:c r="P50" s="58" t="str"/>
    </x:row>
    <x:row r="51">
      <x:c r="A51" s="58" t="str"/>
      <x:c r="B51" s="58" t="str"/>
      <x:c r="C51" s="58" t="str"/>
      <x:c r="D51" s="58" t="str"/>
      <x:c r="E51" s="58" t="str"/>
      <x:c r="F51" s="58" t="str"/>
      <x:c r="G51" s="70"/>
      <x:c r="H51" s="70"/>
      <x:c r="I51" s="70"/>
      <x:c r="J51" s="70"/>
      <x:c r="K51" s="66" t="str">
        <x:f>IF(C51="","",MAX(0,G51-H51-I51-J51))</x:f>
      </x:c>
      <x:c r="L51" s="70"/>
      <x:c r="M51" s="70"/>
      <x:c r="N51" s="70" t="str"/>
      <x:c r="O51" s="66" t="str">
        <x:f>IF(C51="","",K51+M51)</x:f>
      </x:c>
      <x:c r="P51" s="58" t="str"/>
    </x:row>
    <x:row r="52">
      <x:c r="A52" s="58" t="str"/>
      <x:c r="B52" s="58" t="str"/>
      <x:c r="C52" s="58" t="str"/>
      <x:c r="D52" s="58" t="str"/>
      <x:c r="E52" s="58" t="str"/>
      <x:c r="F52" s="58" t="str"/>
      <x:c r="G52" s="70"/>
      <x:c r="H52" s="70"/>
      <x:c r="I52" s="70"/>
      <x:c r="J52" s="70"/>
      <x:c r="K52" s="66" t="str">
        <x:f>IF(C52="","",MAX(0,G52-H52-I52-J52))</x:f>
      </x:c>
      <x:c r="L52" s="70"/>
      <x:c r="M52" s="70"/>
      <x:c r="N52" s="70" t="str"/>
      <x:c r="O52" s="66" t="str">
        <x:f>IF(C52="","",K52+M52)</x:f>
      </x:c>
      <x:c r="P52" s="58" t="str"/>
    </x:row>
    <x:row r="53">
      <x:c r="A53" s="58" t="str"/>
      <x:c r="B53" s="58" t="str"/>
      <x:c r="C53" s="58" t="str"/>
      <x:c r="D53" s="58" t="str"/>
      <x:c r="E53" s="58" t="str"/>
      <x:c r="F53" s="58" t="str"/>
      <x:c r="G53" s="70"/>
      <x:c r="H53" s="70"/>
      <x:c r="I53" s="70"/>
      <x:c r="J53" s="70"/>
      <x:c r="K53" s="66" t="str">
        <x:f>IF(C53="","",MAX(0,G53-H53-I53-J53))</x:f>
      </x:c>
      <x:c r="L53" s="70"/>
      <x:c r="M53" s="70"/>
      <x:c r="N53" s="70" t="str"/>
      <x:c r="O53" s="66" t="str">
        <x:f>IF(C53="","",K53+M53)</x:f>
      </x:c>
      <x:c r="P53" s="58" t="str"/>
    </x:row>
    <x:row r="54">
      <x:c r="A54" s="58" t="str"/>
      <x:c r="B54" s="58" t="str"/>
      <x:c r="C54" s="58" t="str"/>
      <x:c r="D54" s="58" t="str"/>
      <x:c r="E54" s="58" t="str"/>
      <x:c r="F54" s="58" t="str"/>
      <x:c r="G54" s="70"/>
      <x:c r="H54" s="70"/>
      <x:c r="I54" s="70"/>
      <x:c r="J54" s="70"/>
      <x:c r="K54" s="66" t="str">
        <x:f>IF(C54="","",MAX(0,G54-H54-I54-J54))</x:f>
      </x:c>
      <x:c r="L54" s="70"/>
      <x:c r="M54" s="70"/>
      <x:c r="N54" s="70" t="str"/>
      <x:c r="O54" s="66" t="str">
        <x:f>IF(C54="","",K54+M54)</x:f>
      </x:c>
      <x:c r="P54" s="58" t="str"/>
    </x:row>
    <x:row r="55">
      <x:c r="A55" s="58" t="str"/>
      <x:c r="B55" s="58" t="str"/>
      <x:c r="C55" s="58" t="str"/>
      <x:c r="D55" s="58" t="str"/>
      <x:c r="E55" s="58" t="str"/>
      <x:c r="F55" s="58" t="str"/>
      <x:c r="G55" s="70"/>
      <x:c r="H55" s="70"/>
      <x:c r="I55" s="70"/>
      <x:c r="J55" s="70"/>
      <x:c r="K55" s="66" t="str">
        <x:f>IF(C55="","",MAX(0,G55-H55-I55-J55))</x:f>
      </x:c>
      <x:c r="L55" s="70"/>
      <x:c r="M55" s="70"/>
      <x:c r="N55" s="70" t="str"/>
      <x:c r="O55" s="66" t="str">
        <x:f>IF(C55="","",K55+M55)</x:f>
      </x:c>
      <x:c r="P55" s="58" t="str"/>
    </x:row>
    <x:row r="56">
      <x:c r="A56" s="58" t="str"/>
      <x:c r="B56" s="58" t="str"/>
      <x:c r="C56" s="58" t="str"/>
      <x:c r="D56" s="58" t="str"/>
      <x:c r="E56" s="58" t="str"/>
      <x:c r="F56" s="58" t="str"/>
      <x:c r="G56" s="70"/>
      <x:c r="H56" s="70"/>
      <x:c r="I56" s="70"/>
      <x:c r="J56" s="70"/>
      <x:c r="K56" s="66" t="str">
        <x:f>IF(C56="","",MAX(0,G56-H56-I56-J56))</x:f>
      </x:c>
      <x:c r="L56" s="70"/>
      <x:c r="M56" s="70"/>
      <x:c r="N56" s="70" t="str"/>
      <x:c r="O56" s="66" t="str">
        <x:f>IF(C56="","",K56+M56)</x:f>
      </x:c>
      <x:c r="P56" s="58" t="str"/>
    </x:row>
    <x:row r="57">
      <x:c r="A57" s="58" t="str"/>
      <x:c r="B57" s="58" t="str"/>
      <x:c r="C57" s="58" t="str"/>
      <x:c r="D57" s="58" t="str"/>
      <x:c r="E57" s="58" t="str"/>
      <x:c r="F57" s="58" t="str"/>
      <x:c r="G57" s="70"/>
      <x:c r="H57" s="70"/>
      <x:c r="I57" s="70"/>
      <x:c r="J57" s="70"/>
      <x:c r="K57" s="66" t="str">
        <x:f>IF(C57="","",MAX(0,G57-H57-I57-J57))</x:f>
      </x:c>
      <x:c r="L57" s="70"/>
      <x:c r="M57" s="70"/>
      <x:c r="N57" s="70" t="str"/>
      <x:c r="O57" s="66" t="str">
        <x:f>IF(C57="","",K57+M57)</x:f>
      </x:c>
      <x:c r="P57" s="58" t="str"/>
    </x:row>
    <x:row r="58">
      <x:c r="A58" s="58" t="str"/>
      <x:c r="B58" s="58" t="str"/>
      <x:c r="C58" s="58" t="str"/>
      <x:c r="D58" s="58" t="str"/>
      <x:c r="E58" s="58" t="str"/>
      <x:c r="F58" s="58" t="str"/>
      <x:c r="G58" s="70"/>
      <x:c r="H58" s="70"/>
      <x:c r="I58" s="70"/>
      <x:c r="J58" s="70"/>
      <x:c r="K58" s="66" t="str">
        <x:f>IF(C58="","",MAX(0,G58-H58-I58-J58))</x:f>
      </x:c>
      <x:c r="L58" s="70"/>
      <x:c r="M58" s="70"/>
      <x:c r="N58" s="70" t="str"/>
      <x:c r="O58" s="66" t="str">
        <x:f>IF(C58="","",K58+M58)</x:f>
      </x:c>
      <x:c r="P58" s="58" t="str"/>
    </x:row>
    <x:row r="59">
      <x:c r="A59" s="58" t="str"/>
      <x:c r="B59" s="58" t="str"/>
      <x:c r="C59" s="58" t="str"/>
      <x:c r="D59" s="58" t="str"/>
      <x:c r="E59" s="58" t="str"/>
      <x:c r="F59" s="58" t="str"/>
      <x:c r="G59" s="70"/>
      <x:c r="H59" s="70"/>
      <x:c r="I59" s="70"/>
      <x:c r="J59" s="70"/>
      <x:c r="K59" s="66" t="str">
        <x:f>IF(C59="","",MAX(0,G59-H59-I59-J59))</x:f>
      </x:c>
      <x:c r="L59" s="70"/>
      <x:c r="M59" s="70"/>
      <x:c r="N59" s="70" t="str"/>
      <x:c r="O59" s="66" t="str">
        <x:f>IF(C59="","",K59+M59)</x:f>
      </x:c>
      <x:c r="P59" s="58" t="str"/>
    </x:row>
    <x:row r="60">
      <x:c r="A60" s="58" t="str"/>
      <x:c r="B60" s="58" t="str"/>
      <x:c r="C60" s="58" t="str"/>
      <x:c r="D60" s="58" t="str"/>
      <x:c r="E60" s="58" t="str"/>
      <x:c r="F60" s="58" t="str"/>
      <x:c r="G60" s="70"/>
      <x:c r="H60" s="70"/>
      <x:c r="I60" s="70"/>
      <x:c r="J60" s="70"/>
      <x:c r="K60" s="66" t="str">
        <x:f>IF(C60="","",MAX(0,G60-H60-I60-J60))</x:f>
      </x:c>
      <x:c r="L60" s="70"/>
      <x:c r="M60" s="70"/>
      <x:c r="N60" s="70" t="str"/>
      <x:c r="O60" s="66" t="str">
        <x:f>IF(C60="","",K60+M60)</x:f>
      </x:c>
      <x:c r="P60" s="58" t="str"/>
    </x:row>
    <x:row r="61">
      <x:c r="A61" s="58" t="str"/>
      <x:c r="B61" s="58" t="str"/>
      <x:c r="C61" s="58" t="str"/>
      <x:c r="D61" s="58" t="str"/>
      <x:c r="E61" s="58" t="str"/>
      <x:c r="F61" s="58" t="str"/>
      <x:c r="G61" s="70"/>
      <x:c r="H61" s="70"/>
      <x:c r="I61" s="70"/>
      <x:c r="J61" s="70"/>
      <x:c r="K61" s="66" t="str">
        <x:f>IF(C61="","",MAX(0,G61-H61-I61-J61))</x:f>
      </x:c>
      <x:c r="L61" s="70"/>
      <x:c r="M61" s="70"/>
      <x:c r="N61" s="70" t="str"/>
      <x:c r="O61" s="66" t="str">
        <x:f>IF(C61="","",K61+M61)</x:f>
      </x:c>
      <x:c r="P61" s="58" t="str"/>
    </x:row>
    <x:row r="62">
      <x:c r="A62" s="58" t="str"/>
      <x:c r="B62" s="58" t="str"/>
      <x:c r="C62" s="58" t="str"/>
      <x:c r="D62" s="58" t="str"/>
      <x:c r="E62" s="58" t="str"/>
      <x:c r="F62" s="58" t="str"/>
      <x:c r="G62" s="70"/>
      <x:c r="H62" s="70"/>
      <x:c r="I62" s="70"/>
      <x:c r="J62" s="70"/>
      <x:c r="K62" s="66" t="str">
        <x:f>IF(C62="","",MAX(0,G62-H62-I62-J62))</x:f>
      </x:c>
      <x:c r="L62" s="70"/>
      <x:c r="M62" s="70"/>
      <x:c r="N62" s="70" t="str"/>
      <x:c r="O62" s="66" t="str">
        <x:f>IF(C62="","",K62+M62)</x:f>
      </x:c>
      <x:c r="P62" s="58" t="str"/>
    </x:row>
    <x:row r="63">
      <x:c r="A63" s="58" t="str"/>
      <x:c r="B63" s="58" t="str"/>
      <x:c r="C63" s="58" t="str"/>
      <x:c r="D63" s="58" t="str"/>
      <x:c r="E63" s="58" t="str"/>
      <x:c r="F63" s="58" t="str"/>
      <x:c r="G63" s="70"/>
      <x:c r="H63" s="70"/>
      <x:c r="I63" s="70"/>
      <x:c r="J63" s="70"/>
      <x:c r="K63" s="66" t="str">
        <x:f>IF(C63="","",MAX(0,G63-H63-I63-J63))</x:f>
      </x:c>
      <x:c r="L63" s="70"/>
      <x:c r="M63" s="70"/>
      <x:c r="N63" s="70" t="str"/>
      <x:c r="O63" s="66" t="str">
        <x:f>IF(C63="","",K63+M63)</x:f>
      </x:c>
      <x:c r="P63" s="58" t="str"/>
    </x:row>
    <x:row r="64">
      <x:c r="A64" s="58" t="str"/>
      <x:c r="B64" s="58" t="str"/>
      <x:c r="C64" s="58" t="str"/>
      <x:c r="D64" s="58" t="str"/>
      <x:c r="E64" s="58" t="str"/>
      <x:c r="F64" s="58" t="str"/>
      <x:c r="G64" s="70"/>
      <x:c r="H64" s="70"/>
      <x:c r="I64" s="70"/>
      <x:c r="J64" s="70"/>
      <x:c r="K64" s="66" t="str">
        <x:f>IF(C64="","",MAX(0,G64-H64-I64-J64))</x:f>
      </x:c>
      <x:c r="L64" s="70"/>
      <x:c r="M64" s="70"/>
      <x:c r="N64" s="70" t="str"/>
      <x:c r="O64" s="66" t="str">
        <x:f>IF(C64="","",K64+M64)</x:f>
      </x:c>
      <x:c r="P64" s="58" t="str"/>
    </x:row>
    <x:row r="65">
      <x:c r="A65" s="58" t="str"/>
      <x:c r="B65" s="58" t="str"/>
      <x:c r="C65" s="58" t="str"/>
      <x:c r="D65" s="58" t="str"/>
      <x:c r="E65" s="58" t="str"/>
      <x:c r="F65" s="58" t="str"/>
      <x:c r="G65" s="70"/>
      <x:c r="H65" s="70"/>
      <x:c r="I65" s="70"/>
      <x:c r="J65" s="70"/>
      <x:c r="K65" s="66" t="str">
        <x:f>IF(C65="","",MAX(0,G65-H65-I65-J65))</x:f>
      </x:c>
      <x:c r="L65" s="70"/>
      <x:c r="M65" s="70"/>
      <x:c r="N65" s="70" t="str"/>
      <x:c r="O65" s="66" t="str">
        <x:f>IF(C65="","",K65+M65)</x:f>
      </x:c>
      <x:c r="P65" s="58" t="str"/>
    </x:row>
    <x:row r="66">
      <x:c r="A66" s="58" t="str"/>
      <x:c r="B66" s="58" t="str"/>
      <x:c r="C66" s="58" t="str"/>
      <x:c r="D66" s="58" t="str"/>
      <x:c r="E66" s="58" t="str"/>
      <x:c r="F66" s="58" t="str"/>
      <x:c r="G66" s="70"/>
      <x:c r="H66" s="70"/>
      <x:c r="I66" s="70"/>
      <x:c r="J66" s="70"/>
      <x:c r="K66" s="66" t="str">
        <x:f>IF(C66="","",MAX(0,G66-H66-I66-J66))</x:f>
      </x:c>
      <x:c r="L66" s="70"/>
      <x:c r="M66" s="70"/>
      <x:c r="N66" s="70" t="str"/>
      <x:c r="O66" s="66" t="str">
        <x:f>IF(C66="","",K66+M66)</x:f>
      </x:c>
      <x:c r="P66" s="58" t="str"/>
    </x:row>
    <x:row r="67">
      <x:c r="A67" s="58" t="str"/>
      <x:c r="B67" s="58" t="str"/>
      <x:c r="C67" s="58" t="str"/>
      <x:c r="D67" s="58" t="str"/>
      <x:c r="E67" s="58" t="str"/>
      <x:c r="F67" s="58" t="str"/>
      <x:c r="G67" s="70"/>
      <x:c r="H67" s="70"/>
      <x:c r="I67" s="70"/>
      <x:c r="J67" s="70"/>
      <x:c r="K67" s="66" t="str">
        <x:f>IF(C67="","",MAX(0,G67-H67-I67-J67))</x:f>
      </x:c>
      <x:c r="L67" s="70"/>
      <x:c r="M67" s="70"/>
      <x:c r="N67" s="70" t="str"/>
      <x:c r="O67" s="66" t="str">
        <x:f>IF(C67="","",K67+M67)</x:f>
      </x:c>
      <x:c r="P67" s="58" t="str"/>
    </x:row>
    <x:row r="68">
      <x:c r="A68" s="58" t="str"/>
      <x:c r="B68" s="58" t="str"/>
      <x:c r="C68" s="58" t="str"/>
      <x:c r="D68" s="58" t="str"/>
      <x:c r="E68" s="58" t="str"/>
      <x:c r="F68" s="58" t="str"/>
      <x:c r="G68" s="70"/>
      <x:c r="H68" s="70"/>
      <x:c r="I68" s="70"/>
      <x:c r="J68" s="70"/>
      <x:c r="K68" s="66" t="str">
        <x:f>IF(C68="","",MAX(0,G68-H68-I68-J68))</x:f>
      </x:c>
      <x:c r="L68" s="70"/>
      <x:c r="M68" s="70"/>
      <x:c r="N68" s="70" t="str"/>
      <x:c r="O68" s="66" t="str">
        <x:f>IF(C68="","",K68+M68)</x:f>
      </x:c>
      <x:c r="P68" s="58" t="str"/>
    </x:row>
    <x:row r="69">
      <x:c r="A69" s="58" t="str"/>
      <x:c r="B69" s="58" t="str"/>
      <x:c r="C69" s="58" t="str"/>
      <x:c r="D69" s="58" t="str"/>
      <x:c r="E69" s="58" t="str"/>
      <x:c r="F69" s="58" t="str"/>
      <x:c r="G69" s="70"/>
      <x:c r="H69" s="70"/>
      <x:c r="I69" s="70"/>
      <x:c r="J69" s="70"/>
      <x:c r="K69" s="66" t="str">
        <x:f>IF(C69="","",MAX(0,G69-H69-I69-J69))</x:f>
      </x:c>
      <x:c r="L69" s="70"/>
      <x:c r="M69" s="70"/>
      <x:c r="N69" s="70" t="str"/>
      <x:c r="O69" s="66" t="str">
        <x:f>IF(C69="","",K69+M69)</x:f>
      </x:c>
      <x:c r="P69" s="58" t="str"/>
    </x:row>
    <x:row r="70">
      <x:c r="A70" s="58" t="str"/>
      <x:c r="B70" s="58" t="str"/>
      <x:c r="C70" s="58" t="str"/>
      <x:c r="D70" s="58" t="str"/>
      <x:c r="E70" s="58" t="str"/>
      <x:c r="F70" s="58" t="str"/>
      <x:c r="G70" s="70"/>
      <x:c r="H70" s="70"/>
      <x:c r="I70" s="70"/>
      <x:c r="J70" s="70"/>
      <x:c r="K70" s="66" t="str">
        <x:f>IF(C70="","",MAX(0,G70-H70-I70-J70))</x:f>
      </x:c>
      <x:c r="L70" s="70"/>
      <x:c r="M70" s="70"/>
      <x:c r="N70" s="70" t="str"/>
      <x:c r="O70" s="66" t="str">
        <x:f>IF(C70="","",K70+M70)</x:f>
      </x:c>
      <x:c r="P70" s="58" t="str"/>
    </x:row>
    <x:row r="71">
      <x:c r="A71" s="58" t="str"/>
      <x:c r="B71" s="58" t="str"/>
      <x:c r="C71" s="58" t="str"/>
      <x:c r="D71" s="58" t="str"/>
      <x:c r="E71" s="58" t="str"/>
      <x:c r="F71" s="58" t="str"/>
      <x:c r="G71" s="70"/>
      <x:c r="H71" s="70"/>
      <x:c r="I71" s="70"/>
      <x:c r="J71" s="70"/>
      <x:c r="K71" s="66" t="str">
        <x:f>IF(C71="","",MAX(0,G71-H71-I71-J71))</x:f>
      </x:c>
      <x:c r="L71" s="70"/>
      <x:c r="M71" s="70"/>
      <x:c r="N71" s="70" t="str"/>
      <x:c r="O71" s="66" t="str">
        <x:f>IF(C71="","",K71+M71)</x:f>
      </x:c>
      <x:c r="P71" s="58" t="str"/>
    </x:row>
    <x:row r="72">
      <x:c r="A72" s="58" t="str"/>
      <x:c r="B72" s="58" t="str"/>
      <x:c r="C72" s="58" t="str"/>
      <x:c r="D72" s="58" t="str"/>
      <x:c r="E72" s="58" t="str"/>
      <x:c r="F72" s="58" t="str"/>
      <x:c r="G72" s="70"/>
      <x:c r="H72" s="70"/>
      <x:c r="I72" s="70"/>
      <x:c r="J72" s="70"/>
      <x:c r="K72" s="66" t="str">
        <x:f>IF(C72="","",MAX(0,G72-H72-I72-J72))</x:f>
      </x:c>
      <x:c r="L72" s="70"/>
      <x:c r="M72" s="70"/>
      <x:c r="N72" s="70" t="str"/>
      <x:c r="O72" s="66" t="str">
        <x:f>IF(C72="","",K72+M72)</x:f>
      </x:c>
      <x:c r="P72" s="58" t="str"/>
    </x:row>
    <x:row r="73">
      <x:c r="A73" s="58" t="str"/>
      <x:c r="B73" s="58" t="str"/>
      <x:c r="C73" s="58" t="str"/>
      <x:c r="D73" s="58" t="str"/>
      <x:c r="E73" s="58" t="str"/>
      <x:c r="F73" s="58" t="str"/>
      <x:c r="G73" s="70"/>
      <x:c r="H73" s="70"/>
      <x:c r="I73" s="70"/>
      <x:c r="J73" s="70"/>
      <x:c r="K73" s="66" t="str">
        <x:f>IF(C73="","",MAX(0,G73-H73-I73-J73))</x:f>
      </x:c>
      <x:c r="L73" s="70"/>
      <x:c r="M73" s="70"/>
      <x:c r="N73" s="70" t="str"/>
      <x:c r="O73" s="66" t="str">
        <x:f>IF(C73="","",K73+M73)</x:f>
      </x:c>
      <x:c r="P73" s="58" t="str"/>
    </x:row>
    <x:row r="74">
      <x:c r="A74" s="58" t="str"/>
      <x:c r="B74" s="58" t="str"/>
      <x:c r="C74" s="58" t="str"/>
      <x:c r="D74" s="58" t="str"/>
      <x:c r="E74" s="58" t="str"/>
      <x:c r="F74" s="58" t="str"/>
      <x:c r="G74" s="70"/>
      <x:c r="H74" s="70"/>
      <x:c r="I74" s="70"/>
      <x:c r="J74" s="70"/>
      <x:c r="K74" s="66" t="str">
        <x:f>IF(C74="","",MAX(0,G74-H74-I74-J74))</x:f>
      </x:c>
      <x:c r="L74" s="70"/>
      <x:c r="M74" s="70"/>
      <x:c r="N74" s="70" t="str"/>
      <x:c r="O74" s="66" t="str">
        <x:f>IF(C74="","",K74+M74)</x:f>
      </x:c>
      <x:c r="P74" s="58" t="str"/>
    </x:row>
    <x:row r="75">
      <x:c r="A75" s="58" t="str"/>
      <x:c r="B75" s="58" t="str"/>
      <x:c r="C75" s="58" t="str"/>
      <x:c r="D75" s="58" t="str"/>
      <x:c r="E75" s="58" t="str"/>
      <x:c r="F75" s="58" t="str"/>
      <x:c r="G75" s="70"/>
      <x:c r="H75" s="70"/>
      <x:c r="I75" s="70"/>
      <x:c r="J75" s="70"/>
      <x:c r="K75" s="66" t="str">
        <x:f>IF(C75="","",MAX(0,G75-H75-I75-J75))</x:f>
      </x:c>
      <x:c r="L75" s="70"/>
      <x:c r="M75" s="70"/>
      <x:c r="N75" s="70" t="str"/>
      <x:c r="O75" s="66" t="str">
        <x:f>IF(C75="","",K75+M75)</x:f>
      </x:c>
      <x:c r="P75" s="58" t="str"/>
    </x:row>
    <x:row r="76">
      <x:c r="A76" s="58" t="str"/>
      <x:c r="B76" s="58" t="str"/>
      <x:c r="C76" s="58" t="str"/>
      <x:c r="D76" s="58" t="str"/>
      <x:c r="E76" s="58" t="str"/>
      <x:c r="F76" s="58" t="str"/>
      <x:c r="G76" s="70"/>
      <x:c r="H76" s="70"/>
      <x:c r="I76" s="70"/>
      <x:c r="J76" s="70"/>
      <x:c r="K76" s="66" t="str">
        <x:f>IF(C76="","",MAX(0,G76-H76-I76-J76))</x:f>
      </x:c>
      <x:c r="L76" s="70"/>
      <x:c r="M76" s="70"/>
      <x:c r="N76" s="70" t="str"/>
      <x:c r="O76" s="66" t="str">
        <x:f>IF(C76="","",K76+M76)</x:f>
      </x:c>
      <x:c r="P76" s="58" t="str"/>
    </x:row>
    <x:row r="77">
      <x:c r="A77" s="58" t="str"/>
      <x:c r="B77" s="58" t="str"/>
      <x:c r="C77" s="58" t="str"/>
      <x:c r="D77" s="58" t="str"/>
      <x:c r="E77" s="58" t="str"/>
      <x:c r="F77" s="58" t="str"/>
      <x:c r="G77" s="70"/>
      <x:c r="H77" s="70"/>
      <x:c r="I77" s="70"/>
      <x:c r="J77" s="70"/>
      <x:c r="K77" s="66" t="str">
        <x:f>IF(C77="","",MAX(0,G77-H77-I77-J77))</x:f>
      </x:c>
      <x:c r="L77" s="70"/>
      <x:c r="M77" s="70"/>
      <x:c r="N77" s="70" t="str"/>
      <x:c r="O77" s="66" t="str">
        <x:f>IF(C77="","",K77+M77)</x:f>
      </x:c>
      <x:c r="P77" s="58" t="str"/>
    </x:row>
    <x:row r="78">
      <x:c r="A78" s="58" t="str"/>
      <x:c r="B78" s="58" t="str"/>
      <x:c r="C78" s="58" t="str"/>
      <x:c r="D78" s="58" t="str"/>
      <x:c r="E78" s="58" t="str"/>
      <x:c r="F78" s="58" t="str"/>
      <x:c r="G78" s="70"/>
      <x:c r="H78" s="70"/>
      <x:c r="I78" s="70"/>
      <x:c r="J78" s="70"/>
      <x:c r="K78" s="66" t="str">
        <x:f>IF(C78="","",MAX(0,G78-H78-I78-J78))</x:f>
      </x:c>
      <x:c r="L78" s="70"/>
      <x:c r="M78" s="70"/>
      <x:c r="N78" s="70" t="str"/>
      <x:c r="O78" s="66" t="str">
        <x:f>IF(C78="","",K78+M78)</x:f>
      </x:c>
      <x:c r="P78" s="58" t="str"/>
    </x:row>
    <x:row r="79">
      <x:c r="A79" s="58" t="str"/>
      <x:c r="B79" s="58" t="str"/>
      <x:c r="C79" s="58" t="str"/>
      <x:c r="D79" s="58" t="str"/>
      <x:c r="E79" s="58" t="str"/>
      <x:c r="F79" s="58" t="str"/>
      <x:c r="G79" s="70"/>
      <x:c r="H79" s="70"/>
      <x:c r="I79" s="70"/>
      <x:c r="J79" s="70"/>
      <x:c r="K79" s="66" t="str">
        <x:f>IF(C79="","",MAX(0,G79-H79-I79-J79))</x:f>
      </x:c>
      <x:c r="L79" s="70"/>
      <x:c r="M79" s="70"/>
      <x:c r="N79" s="70" t="str"/>
      <x:c r="O79" s="66" t="str">
        <x:f>IF(C79="","",K79+M79)</x:f>
      </x:c>
      <x:c r="P79" s="58" t="str"/>
    </x:row>
    <x:row r="80">
      <x:c r="A80" s="58" t="str"/>
      <x:c r="B80" s="58" t="str"/>
      <x:c r="C80" s="58" t="str"/>
      <x:c r="D80" s="58" t="str"/>
      <x:c r="E80" s="58" t="str"/>
      <x:c r="F80" s="58" t="str"/>
      <x:c r="G80" s="70"/>
      <x:c r="H80" s="70"/>
      <x:c r="I80" s="70"/>
      <x:c r="J80" s="70"/>
      <x:c r="K80" s="66" t="str">
        <x:f>IF(C80="","",MAX(0,G80-H80-I80-J80))</x:f>
      </x:c>
      <x:c r="L80" s="70"/>
      <x:c r="M80" s="70"/>
      <x:c r="N80" s="70" t="str"/>
      <x:c r="O80" s="66" t="str">
        <x:f>IF(C80="","",K80+M80)</x:f>
      </x:c>
      <x:c r="P80" s="58" t="str"/>
    </x:row>
    <x:row r="81">
      <x:c r="A81" s="58" t="str"/>
      <x:c r="B81" s="58" t="str"/>
      <x:c r="C81" s="58" t="str"/>
      <x:c r="D81" s="58" t="str"/>
      <x:c r="E81" s="58" t="str"/>
      <x:c r="F81" s="58" t="str"/>
      <x:c r="G81" s="70"/>
      <x:c r="H81" s="70"/>
      <x:c r="I81" s="70"/>
      <x:c r="J81" s="70"/>
      <x:c r="K81" s="66" t="str">
        <x:f>IF(C81="","",MAX(0,G81-H81-I81-J81))</x:f>
      </x:c>
      <x:c r="L81" s="70"/>
      <x:c r="M81" s="70"/>
      <x:c r="N81" s="70" t="str"/>
      <x:c r="O81" s="66" t="str">
        <x:f>IF(C81="","",K81+M81)</x:f>
      </x:c>
      <x:c r="P81" s="58" t="str"/>
    </x:row>
    <x:row r="82">
      <x:c r="A82" s="58" t="str"/>
      <x:c r="B82" s="58" t="str"/>
      <x:c r="C82" s="58" t="str"/>
      <x:c r="D82" s="58" t="str"/>
      <x:c r="E82" s="58" t="str"/>
      <x:c r="F82" s="58" t="str"/>
      <x:c r="G82" s="70"/>
      <x:c r="H82" s="70"/>
      <x:c r="I82" s="70"/>
      <x:c r="J82" s="70"/>
      <x:c r="K82" s="66" t="str">
        <x:f>IF(C82="","",MAX(0,G82-H82-I82-J82))</x:f>
      </x:c>
      <x:c r="L82" s="70"/>
      <x:c r="M82" s="70"/>
      <x:c r="N82" s="70" t="str"/>
      <x:c r="O82" s="66" t="str">
        <x:f>IF(C82="","",K82+M82)</x:f>
      </x:c>
      <x:c r="P82" s="58" t="str"/>
    </x:row>
    <x:row r="83">
      <x:c r="A83" s="58" t="str"/>
      <x:c r="B83" s="58" t="str"/>
      <x:c r="C83" s="58" t="str"/>
      <x:c r="D83" s="58" t="str"/>
      <x:c r="E83" s="58" t="str"/>
      <x:c r="F83" s="58" t="str"/>
      <x:c r="G83" s="70"/>
      <x:c r="H83" s="70"/>
      <x:c r="I83" s="70"/>
      <x:c r="J83" s="70"/>
      <x:c r="K83" s="66" t="str">
        <x:f>IF(C83="","",MAX(0,G83-H83-I83-J83))</x:f>
      </x:c>
      <x:c r="L83" s="70"/>
      <x:c r="M83" s="70"/>
      <x:c r="N83" s="70" t="str"/>
      <x:c r="O83" s="66" t="str">
        <x:f>IF(C83="","",K83+M83)</x:f>
      </x:c>
      <x:c r="P83" s="58" t="str"/>
    </x:row>
    <x:row r="84">
      <x:c r="A84" s="58" t="str"/>
      <x:c r="B84" s="58" t="str"/>
      <x:c r="C84" s="58" t="str"/>
      <x:c r="D84" s="58" t="str"/>
      <x:c r="E84" s="58" t="str"/>
      <x:c r="F84" s="58" t="str"/>
      <x:c r="G84" s="70"/>
      <x:c r="H84" s="70"/>
      <x:c r="I84" s="70"/>
      <x:c r="J84" s="70"/>
      <x:c r="K84" s="66" t="str">
        <x:f>IF(C84="","",MAX(0,G84-H84-I84-J84))</x:f>
      </x:c>
      <x:c r="L84" s="70"/>
      <x:c r="M84" s="70"/>
      <x:c r="N84" s="70" t="str"/>
      <x:c r="O84" s="66" t="str">
        <x:f>IF(C84="","",K84+M84)</x:f>
      </x:c>
      <x:c r="P84" s="58" t="str"/>
    </x:row>
    <x:row r="85">
      <x:c r="A85" s="58" t="str"/>
      <x:c r="B85" s="58" t="str"/>
      <x:c r="C85" s="58" t="str"/>
      <x:c r="D85" s="58" t="str"/>
      <x:c r="E85" s="58" t="str"/>
      <x:c r="F85" s="58" t="str"/>
      <x:c r="G85" s="70"/>
      <x:c r="H85" s="70"/>
      <x:c r="I85" s="70"/>
      <x:c r="J85" s="70"/>
      <x:c r="K85" s="66" t="str">
        <x:f>IF(C85="","",MAX(0,G85-H85-I85-J85))</x:f>
      </x:c>
      <x:c r="L85" s="70"/>
      <x:c r="M85" s="70"/>
      <x:c r="N85" s="70" t="str"/>
      <x:c r="O85" s="66" t="str">
        <x:f>IF(C85="","",K85+M85)</x:f>
      </x:c>
      <x:c r="P85" s="58" t="str"/>
    </x:row>
    <x:row r="86">
      <x:c r="A86" s="58" t="str"/>
      <x:c r="B86" s="58" t="str"/>
      <x:c r="C86" s="58" t="str"/>
      <x:c r="D86" s="58" t="str"/>
      <x:c r="E86" s="58" t="str"/>
      <x:c r="F86" s="58" t="str"/>
      <x:c r="G86" s="70"/>
      <x:c r="H86" s="70"/>
      <x:c r="I86" s="70"/>
      <x:c r="J86" s="70"/>
      <x:c r="K86" s="66" t="str">
        <x:f>IF(C86="","",MAX(0,G86-H86-I86-J86))</x:f>
      </x:c>
      <x:c r="L86" s="70"/>
      <x:c r="M86" s="70"/>
      <x:c r="N86" s="70" t="str"/>
      <x:c r="O86" s="66" t="str">
        <x:f>IF(C86="","",K86+M86)</x:f>
      </x:c>
      <x:c r="P86" s="58" t="str"/>
    </x:row>
    <x:row r="87">
      <x:c r="A87" s="58" t="str"/>
      <x:c r="B87" s="58" t="str"/>
      <x:c r="C87" s="58" t="str"/>
      <x:c r="D87" s="58" t="str"/>
      <x:c r="E87" s="58" t="str"/>
      <x:c r="F87" s="58" t="str"/>
      <x:c r="G87" s="70"/>
      <x:c r="H87" s="70"/>
      <x:c r="I87" s="70"/>
      <x:c r="J87" s="70"/>
      <x:c r="K87" s="66" t="str">
        <x:f>IF(C87="","",MAX(0,G87-H87-I87-J87))</x:f>
      </x:c>
      <x:c r="L87" s="70"/>
      <x:c r="M87" s="70"/>
      <x:c r="N87" s="70" t="str"/>
      <x:c r="O87" s="66" t="str">
        <x:f>IF(C87="","",K87+M87)</x:f>
      </x:c>
      <x:c r="P87" s="58" t="str"/>
    </x:row>
    <x:row r="88">
      <x:c r="A88" s="58" t="str"/>
      <x:c r="B88" s="58" t="str"/>
      <x:c r="C88" s="58" t="str"/>
      <x:c r="D88" s="58" t="str"/>
      <x:c r="E88" s="58" t="str"/>
      <x:c r="F88" s="58" t="str"/>
      <x:c r="G88" s="70"/>
      <x:c r="H88" s="70"/>
      <x:c r="I88" s="70"/>
      <x:c r="J88" s="70"/>
      <x:c r="K88" s="66" t="str">
        <x:f>IF(C88="","",MAX(0,G88-H88-I88-J88))</x:f>
      </x:c>
      <x:c r="L88" s="70"/>
      <x:c r="M88" s="70"/>
      <x:c r="N88" s="70" t="str"/>
      <x:c r="O88" s="66" t="str">
        <x:f>IF(C88="","",K88+M88)</x:f>
      </x:c>
      <x:c r="P88" s="58" t="str"/>
    </x:row>
    <x:row r="89">
      <x:c r="A89" s="58" t="str"/>
      <x:c r="B89" s="58" t="str"/>
      <x:c r="C89" s="58" t="str"/>
      <x:c r="D89" s="58" t="str"/>
      <x:c r="E89" s="58" t="str"/>
      <x:c r="F89" s="58" t="str"/>
      <x:c r="G89" s="70"/>
      <x:c r="H89" s="70"/>
      <x:c r="I89" s="70"/>
      <x:c r="J89" s="70"/>
      <x:c r="K89" s="66" t="str">
        <x:f>IF(C89="","",MAX(0,G89-H89-I89-J89))</x:f>
      </x:c>
      <x:c r="L89" s="70"/>
      <x:c r="M89" s="70"/>
      <x:c r="N89" s="70" t="str"/>
      <x:c r="O89" s="66" t="str">
        <x:f>IF(C89="","",K89+M89)</x:f>
      </x:c>
      <x:c r="P89" s="58" t="str"/>
    </x:row>
    <x:row r="90">
      <x:c r="A90" s="58" t="str"/>
      <x:c r="B90" s="58" t="str"/>
      <x:c r="C90" s="58" t="str"/>
      <x:c r="D90" s="58" t="str"/>
      <x:c r="E90" s="58" t="str"/>
      <x:c r="F90" s="58" t="str"/>
      <x:c r="G90" s="70"/>
      <x:c r="H90" s="70"/>
      <x:c r="I90" s="70"/>
      <x:c r="J90" s="70"/>
      <x:c r="K90" s="66" t="str">
        <x:f>IF(C90="","",MAX(0,G90-H90-I90-J90))</x:f>
      </x:c>
      <x:c r="L90" s="70"/>
      <x:c r="M90" s="70"/>
      <x:c r="N90" s="70" t="str"/>
      <x:c r="O90" s="66" t="str">
        <x:f>IF(C90="","",K90+M90)</x:f>
      </x:c>
      <x:c r="P90" s="58" t="str"/>
    </x:row>
    <x:row r="91">
      <x:c r="A91" s="58" t="str"/>
      <x:c r="B91" s="58" t="str"/>
      <x:c r="C91" s="58" t="str"/>
      <x:c r="D91" s="58" t="str"/>
      <x:c r="E91" s="58" t="str"/>
      <x:c r="F91" s="58" t="str"/>
      <x:c r="G91" s="70"/>
      <x:c r="H91" s="70"/>
      <x:c r="I91" s="70"/>
      <x:c r="J91" s="70"/>
      <x:c r="K91" s="66" t="str">
        <x:f>IF(C91="","",MAX(0,G91-H91-I91-J91))</x:f>
      </x:c>
      <x:c r="L91" s="70"/>
      <x:c r="M91" s="70"/>
      <x:c r="N91" s="70" t="str"/>
      <x:c r="O91" s="66" t="str">
        <x:f>IF(C91="","",K91+M91)</x:f>
      </x:c>
      <x:c r="P91" s="58" t="str"/>
    </x:row>
    <x:row r="92">
      <x:c r="A92" s="58" t="str"/>
      <x:c r="B92" s="58" t="str"/>
      <x:c r="C92" s="58" t="str"/>
      <x:c r="D92" s="58" t="str"/>
      <x:c r="E92" s="58" t="str"/>
      <x:c r="F92" s="58" t="str"/>
      <x:c r="G92" s="70"/>
      <x:c r="H92" s="70"/>
      <x:c r="I92" s="70"/>
      <x:c r="J92" s="70"/>
      <x:c r="K92" s="66" t="str">
        <x:f>IF(C92="","",MAX(0,G92-H92-I92-J92))</x:f>
      </x:c>
      <x:c r="L92" s="70"/>
      <x:c r="M92" s="70"/>
      <x:c r="N92" s="70" t="str"/>
      <x:c r="O92" s="66" t="str">
        <x:f>IF(C92="","",K92+M92)</x:f>
      </x:c>
      <x:c r="P92" s="58" t="str"/>
    </x:row>
    <x:row r="93">
      <x:c r="A93" s="58" t="str"/>
      <x:c r="B93" s="58" t="str"/>
      <x:c r="C93" s="58" t="str"/>
      <x:c r="D93" s="58" t="str"/>
      <x:c r="E93" s="58" t="str"/>
      <x:c r="F93" s="58" t="str"/>
      <x:c r="G93" s="70"/>
      <x:c r="H93" s="70"/>
      <x:c r="I93" s="70"/>
      <x:c r="J93" s="70"/>
      <x:c r="K93" s="66" t="str">
        <x:f>IF(C93="","",MAX(0,G93-H93-I93-J93))</x:f>
      </x:c>
      <x:c r="L93" s="70"/>
      <x:c r="M93" s="70"/>
      <x:c r="N93" s="70" t="str"/>
      <x:c r="O93" s="66" t="str">
        <x:f>IF(C93="","",K93+M93)</x:f>
      </x:c>
      <x:c r="P93" s="58" t="str"/>
    </x:row>
    <x:row r="94">
      <x:c r="A94" s="58" t="str"/>
      <x:c r="B94" s="58" t="str"/>
      <x:c r="C94" s="58" t="str"/>
      <x:c r="D94" s="58" t="str"/>
      <x:c r="E94" s="58" t="str"/>
      <x:c r="F94" s="58" t="str"/>
      <x:c r="G94" s="70"/>
      <x:c r="H94" s="70"/>
      <x:c r="I94" s="70"/>
      <x:c r="J94" s="70"/>
      <x:c r="K94" s="66" t="str">
        <x:f>IF(C94="","",MAX(0,G94-H94-I94-J94))</x:f>
      </x:c>
      <x:c r="L94" s="70"/>
      <x:c r="M94" s="70"/>
      <x:c r="N94" s="70" t="str"/>
      <x:c r="O94" s="66" t="str">
        <x:f>IF(C94="","",K94+M94)</x:f>
      </x:c>
      <x:c r="P94" s="58" t="str"/>
    </x:row>
    <x:row r="95">
      <x:c r="A95" s="58" t="str"/>
      <x:c r="B95" s="58" t="str"/>
      <x:c r="C95" s="58" t="str"/>
      <x:c r="D95" s="58" t="str"/>
      <x:c r="E95" s="58" t="str"/>
      <x:c r="F95" s="58" t="str"/>
      <x:c r="G95" s="70"/>
      <x:c r="H95" s="70"/>
      <x:c r="I95" s="70"/>
      <x:c r="J95" s="70"/>
      <x:c r="K95" s="66" t="str">
        <x:f>IF(C95="","",MAX(0,G95-H95-I95-J95))</x:f>
      </x:c>
      <x:c r="L95" s="70"/>
      <x:c r="M95" s="70"/>
      <x:c r="N95" s="70" t="str"/>
      <x:c r="O95" s="66" t="str">
        <x:f>IF(C95="","",K95+M95)</x:f>
      </x:c>
      <x:c r="P95" s="58" t="str"/>
    </x:row>
    <x:row r="96">
      <x:c r="A96" s="58" t="str"/>
      <x:c r="B96" s="58" t="str"/>
      <x:c r="C96" s="58" t="str"/>
      <x:c r="D96" s="58" t="str"/>
      <x:c r="E96" s="58" t="str"/>
      <x:c r="F96" s="58" t="str"/>
      <x:c r="G96" s="70"/>
      <x:c r="H96" s="70"/>
      <x:c r="I96" s="70"/>
      <x:c r="J96" s="70"/>
      <x:c r="K96" s="66" t="str">
        <x:f>IF(C96="","",MAX(0,G96-H96-I96-J96))</x:f>
      </x:c>
      <x:c r="L96" s="70"/>
      <x:c r="M96" s="70"/>
      <x:c r="N96" s="70" t="str"/>
      <x:c r="O96" s="66" t="str">
        <x:f>IF(C96="","",K96+M96)</x:f>
      </x:c>
      <x:c r="P96" s="58" t="str"/>
    </x:row>
    <x:row r="97">
      <x:c r="A97" s="58" t="str"/>
      <x:c r="B97" s="58" t="str"/>
      <x:c r="C97" s="58" t="str"/>
      <x:c r="D97" s="58" t="str"/>
      <x:c r="E97" s="58" t="str"/>
      <x:c r="F97" s="58" t="str"/>
      <x:c r="G97" s="70"/>
      <x:c r="H97" s="70"/>
      <x:c r="I97" s="70"/>
      <x:c r="J97" s="70"/>
      <x:c r="K97" s="66" t="str">
        <x:f>IF(C97="","",MAX(0,G97-H97-I97-J97))</x:f>
      </x:c>
      <x:c r="L97" s="70"/>
      <x:c r="M97" s="70"/>
      <x:c r="N97" s="70" t="str"/>
      <x:c r="O97" s="66" t="str">
        <x:f>IF(C97="","",K97+M97)</x:f>
      </x:c>
      <x:c r="P97" s="58" t="str"/>
    </x:row>
    <x:row r="98">
      <x:c r="A98" s="58" t="str"/>
      <x:c r="B98" s="58" t="str"/>
      <x:c r="C98" s="58" t="str"/>
      <x:c r="D98" s="58" t="str"/>
      <x:c r="E98" s="58" t="str"/>
      <x:c r="F98" s="58" t="str"/>
      <x:c r="G98" s="70"/>
      <x:c r="H98" s="70"/>
      <x:c r="I98" s="70"/>
      <x:c r="J98" s="70"/>
      <x:c r="K98" s="66" t="str">
        <x:f>IF(C98="","",MAX(0,G98-H98-I98-J98))</x:f>
      </x:c>
      <x:c r="L98" s="70"/>
      <x:c r="M98" s="70"/>
      <x:c r="N98" s="70" t="str"/>
      <x:c r="O98" s="66" t="str">
        <x:f>IF(C98="","",K98+M98)</x:f>
      </x:c>
      <x:c r="P98" s="58" t="str"/>
    </x:row>
    <x:row r="99">
      <x:c r="A99" s="58" t="str"/>
      <x:c r="B99" s="58" t="str"/>
      <x:c r="C99" s="58" t="str"/>
      <x:c r="D99" s="58" t="str"/>
      <x:c r="E99" s="58" t="str"/>
      <x:c r="F99" s="58" t="str"/>
      <x:c r="G99" s="70"/>
      <x:c r="H99" s="70"/>
      <x:c r="I99" s="70"/>
      <x:c r="J99" s="70"/>
      <x:c r="K99" s="66" t="str">
        <x:f>IF(C99="","",MAX(0,G99-H99-I99-J99))</x:f>
      </x:c>
      <x:c r="L99" s="70"/>
      <x:c r="M99" s="70"/>
      <x:c r="N99" s="70" t="str"/>
      <x:c r="O99" s="66" t="str">
        <x:f>IF(C99="","",K99+M99)</x:f>
      </x:c>
      <x:c r="P99" s="58" t="str"/>
    </x:row>
    <x:row r="100">
      <x:c r="A100" s="58" t="str"/>
      <x:c r="B100" s="58" t="str"/>
      <x:c r="C100" s="58" t="str"/>
      <x:c r="D100" s="58" t="str"/>
      <x:c r="E100" s="58" t="str"/>
      <x:c r="F100" s="58" t="str"/>
      <x:c r="G100" s="70"/>
      <x:c r="H100" s="70"/>
      <x:c r="I100" s="70"/>
      <x:c r="J100" s="70"/>
      <x:c r="K100" s="66" t="str">
        <x:f>IF(C100="","",MAX(0,G100-H100-I100-J100))</x:f>
      </x:c>
      <x:c r="L100" s="70"/>
      <x:c r="M100" s="70"/>
      <x:c r="N100" s="70" t="str"/>
      <x:c r="O100" s="66" t="str">
        <x:f>IF(C100="","",K100+M100)</x:f>
      </x:c>
      <x:c r="P100" s="58" t="str"/>
    </x:row>
    <x:row r="101">
      <x:c r="A101" s="58" t="str"/>
      <x:c r="B101" s="58" t="str"/>
      <x:c r="C101" s="58" t="str"/>
      <x:c r="D101" s="58" t="str"/>
      <x:c r="E101" s="58" t="str"/>
      <x:c r="F101" s="58" t="str"/>
      <x:c r="G101" s="70"/>
      <x:c r="H101" s="70"/>
      <x:c r="I101" s="70"/>
      <x:c r="J101" s="70"/>
      <x:c r="K101" s="66" t="str">
        <x:f>IF(C101="","",MAX(0,G101-H101-I101-J101))</x:f>
      </x:c>
      <x:c r="L101" s="70"/>
      <x:c r="M101" s="70"/>
      <x:c r="N101" s="70" t="str"/>
      <x:c r="O101" s="66" t="str">
        <x:f>IF(C101="","",K101+M101)</x:f>
      </x:c>
      <x:c r="P101" s="58" t="str"/>
    </x:row>
    <x:row r="102">
      <x:c r="A102" s="58" t="str"/>
      <x:c r="B102" s="58" t="str"/>
      <x:c r="C102" s="58" t="str"/>
      <x:c r="D102" s="58" t="str"/>
      <x:c r="E102" s="58" t="str"/>
      <x:c r="F102" s="58" t="str"/>
      <x:c r="G102" s="70"/>
      <x:c r="H102" s="70"/>
      <x:c r="I102" s="70"/>
      <x:c r="J102" s="70"/>
      <x:c r="K102" s="66" t="str">
        <x:f>IF(C102="","",MAX(0,G102-H102-I102-J102))</x:f>
      </x:c>
      <x:c r="L102" s="70"/>
      <x:c r="M102" s="70"/>
      <x:c r="N102" s="70" t="str"/>
      <x:c r="O102" s="66" t="str">
        <x:f>IF(C102="","",K102+M102)</x:f>
      </x:c>
      <x:c r="P102" s="58" t="str"/>
    </x:row>
    <x:row r="103">
      <x:c r="A103" s="58" t="str"/>
      <x:c r="B103" s="58" t="str"/>
      <x:c r="C103" s="58" t="str"/>
      <x:c r="D103" s="58" t="str"/>
      <x:c r="E103" s="58" t="str"/>
      <x:c r="F103" s="58" t="str"/>
      <x:c r="G103" s="70"/>
      <x:c r="H103" s="70"/>
      <x:c r="I103" s="70"/>
      <x:c r="J103" s="70"/>
      <x:c r="K103" s="66" t="str">
        <x:f>IF(C103="","",MAX(0,G103-H103-I103-J103))</x:f>
      </x:c>
      <x:c r="L103" s="70"/>
      <x:c r="M103" s="70"/>
      <x:c r="N103" s="70" t="str"/>
      <x:c r="O103" s="66" t="str">
        <x:f>IF(C103="","",K103+M103)</x:f>
      </x:c>
      <x:c r="P103" s="58" t="str"/>
    </x:row>
    <x:row r="104">
      <x:c r="A104" s="58" t="str"/>
      <x:c r="B104" s="58" t="str"/>
      <x:c r="C104" s="58" t="str"/>
      <x:c r="D104" s="58" t="str"/>
      <x:c r="E104" s="58" t="str"/>
      <x:c r="F104" s="58" t="str"/>
      <x:c r="G104" s="70"/>
      <x:c r="H104" s="70"/>
      <x:c r="I104" s="70"/>
      <x:c r="J104" s="70"/>
      <x:c r="K104" s="66" t="str">
        <x:f>IF(C104="","",MAX(0,G104-H104-I104-J104))</x:f>
      </x:c>
      <x:c r="L104" s="70"/>
      <x:c r="M104" s="70"/>
      <x:c r="N104" s="70" t="str"/>
      <x:c r="O104" s="66" t="str">
        <x:f>IF(C104="","",K104+M104)</x:f>
      </x:c>
      <x:c r="P104" s="58" t="str"/>
    </x:row>
    <x:row r="105">
      <x:c r="A105" s="58" t="str"/>
      <x:c r="B105" s="58" t="str"/>
      <x:c r="C105" s="58" t="str"/>
      <x:c r="D105" s="58" t="str"/>
      <x:c r="E105" s="58" t="str"/>
      <x:c r="F105" s="58" t="str"/>
      <x:c r="G105" s="70"/>
      <x:c r="H105" s="70"/>
      <x:c r="I105" s="70"/>
      <x:c r="J105" s="70"/>
      <x:c r="K105" s="66" t="str">
        <x:f>IF(C105="","",MAX(0,G105-H105-I105-J105))</x:f>
      </x:c>
      <x:c r="L105" s="70"/>
      <x:c r="M105" s="70"/>
      <x:c r="N105" s="70" t="str"/>
      <x:c r="O105" s="66" t="str">
        <x:f>IF(C105="","",K105+M105)</x:f>
      </x:c>
      <x:c r="P105" s="58" t="str"/>
    </x:row>
    <x:row r="106">
      <x:c r="A106" s="58" t="str"/>
      <x:c r="B106" s="58" t="str"/>
      <x:c r="C106" s="58" t="str"/>
      <x:c r="D106" s="58" t="str"/>
      <x:c r="E106" s="58" t="str"/>
      <x:c r="F106" s="58" t="str"/>
      <x:c r="G106" s="70"/>
      <x:c r="H106" s="70"/>
      <x:c r="I106" s="70"/>
      <x:c r="J106" s="70"/>
      <x:c r="K106" s="66" t="str">
        <x:f>IF(C106="","",MAX(0,G106-H106-I106-J106))</x:f>
      </x:c>
      <x:c r="L106" s="70"/>
      <x:c r="M106" s="70"/>
      <x:c r="N106" s="70" t="str"/>
      <x:c r="O106" s="66" t="str">
        <x:f>IF(C106="","",K106+M106)</x:f>
      </x:c>
      <x:c r="P106" s="58" t="str"/>
    </x:row>
    <x:row r="107">
      <x:c r="A107" s="58" t="str"/>
      <x:c r="B107" s="58" t="str"/>
      <x:c r="C107" s="58" t="str"/>
      <x:c r="D107" s="58" t="str"/>
      <x:c r="E107" s="58" t="str"/>
      <x:c r="F107" s="58" t="str"/>
      <x:c r="G107" s="70"/>
      <x:c r="H107" s="70"/>
      <x:c r="I107" s="70"/>
      <x:c r="J107" s="70"/>
      <x:c r="K107" s="66" t="str">
        <x:f>IF(C107="","",MAX(0,G107-H107-I107-J107))</x:f>
      </x:c>
      <x:c r="L107" s="70"/>
      <x:c r="M107" s="70"/>
      <x:c r="N107" s="70" t="str"/>
      <x:c r="O107" s="66" t="str">
        <x:f>IF(C107="","",K107+M107)</x:f>
      </x:c>
      <x:c r="P107" s="58" t="str"/>
    </x:row>
    <x:row r="108">
      <x:c r="A108" s="58" t="str"/>
      <x:c r="B108" s="58" t="str"/>
      <x:c r="C108" s="58" t="str"/>
      <x:c r="D108" s="58" t="str"/>
      <x:c r="E108" s="58" t="str"/>
      <x:c r="F108" s="58" t="str"/>
      <x:c r="G108" s="70"/>
      <x:c r="H108" s="70"/>
      <x:c r="I108" s="70"/>
      <x:c r="J108" s="70"/>
      <x:c r="K108" s="66" t="str">
        <x:f>IF(C108="","",MAX(0,G108-H108-I108-J108))</x:f>
      </x:c>
      <x:c r="L108" s="70"/>
      <x:c r="M108" s="70"/>
      <x:c r="N108" s="70" t="str"/>
      <x:c r="O108" s="66" t="str">
        <x:f>IF(C108="","",K108+M108)</x:f>
      </x:c>
      <x:c r="P108" s="58" t="str"/>
    </x:row>
    <x:row r="109">
      <x:c r="A109" s="58" t="str"/>
      <x:c r="B109" s="58" t="str"/>
      <x:c r="C109" s="58" t="str"/>
      <x:c r="D109" s="58" t="str"/>
      <x:c r="E109" s="58" t="str"/>
      <x:c r="F109" s="58" t="str"/>
      <x:c r="G109" s="70"/>
      <x:c r="H109" s="70"/>
      <x:c r="I109" s="70"/>
      <x:c r="J109" s="70"/>
      <x:c r="K109" s="66" t="str">
        <x:f>IF(C109="","",MAX(0,G109-H109-I109-J109))</x:f>
      </x:c>
      <x:c r="L109" s="70"/>
      <x:c r="M109" s="70"/>
      <x:c r="N109" s="70" t="str"/>
      <x:c r="O109" s="66" t="str">
        <x:f>IF(C109="","",K109+M109)</x:f>
      </x:c>
      <x:c r="P109" s="58" t="str"/>
    </x:row>
    <x:row r="110">
      <x:c r="A110" s="58" t="str"/>
      <x:c r="B110" s="58" t="str"/>
      <x:c r="C110" s="58" t="str"/>
      <x:c r="D110" s="58" t="str"/>
      <x:c r="E110" s="58" t="str"/>
      <x:c r="F110" s="58" t="str"/>
      <x:c r="G110" s="70"/>
      <x:c r="H110" s="70"/>
      <x:c r="I110" s="70"/>
      <x:c r="J110" s="70"/>
      <x:c r="K110" s="66" t="str">
        <x:f>IF(C110="","",MAX(0,G110-H110-I110-J110))</x:f>
      </x:c>
      <x:c r="L110" s="70"/>
      <x:c r="M110" s="70"/>
      <x:c r="N110" s="70" t="str"/>
      <x:c r="O110" s="66" t="str">
        <x:f>IF(C110="","",K110+M110)</x:f>
      </x:c>
      <x:c r="P110" s="58" t="str"/>
    </x:row>
    <x:row r="111">
      <x:c r="A111" s="58" t="str"/>
      <x:c r="B111" s="58" t="str"/>
      <x:c r="C111" s="58" t="str"/>
      <x:c r="D111" s="58" t="str"/>
      <x:c r="E111" s="58" t="str"/>
      <x:c r="F111" s="58" t="str"/>
      <x:c r="G111" s="70"/>
      <x:c r="H111" s="70"/>
      <x:c r="I111" s="70"/>
      <x:c r="J111" s="70"/>
      <x:c r="K111" s="66" t="str">
        <x:f>IF(C111="","",MAX(0,G111-H111-I111-J111))</x:f>
      </x:c>
      <x:c r="L111" s="70"/>
      <x:c r="M111" s="70"/>
      <x:c r="N111" s="70" t="str"/>
      <x:c r="O111" s="66" t="str">
        <x:f>IF(C111="","",K111+M111)</x:f>
      </x:c>
      <x:c r="P111" s="58" t="str"/>
    </x:row>
    <x:row r="112">
      <x:c r="A112" s="58" t="str"/>
      <x:c r="B112" s="58" t="str"/>
      <x:c r="C112" s="58" t="str"/>
      <x:c r="D112" s="58" t="str"/>
      <x:c r="E112" s="58" t="str"/>
      <x:c r="F112" s="58" t="str"/>
      <x:c r="G112" s="70"/>
      <x:c r="H112" s="70"/>
      <x:c r="I112" s="70"/>
      <x:c r="J112" s="70"/>
      <x:c r="K112" s="66" t="str">
        <x:f>IF(C112="","",MAX(0,G112-H112-I112-J112))</x:f>
      </x:c>
      <x:c r="L112" s="70"/>
      <x:c r="M112" s="70"/>
      <x:c r="N112" s="70" t="str"/>
      <x:c r="O112" s="66" t="str">
        <x:f>IF(C112="","",K112+M112)</x:f>
      </x:c>
      <x:c r="P112" s="58" t="str"/>
    </x:row>
    <x:row r="113">
      <x:c r="A113" s="58" t="str"/>
      <x:c r="B113" s="58" t="str"/>
      <x:c r="C113" s="58" t="str"/>
      <x:c r="D113" s="58" t="str"/>
      <x:c r="E113" s="58" t="str"/>
      <x:c r="F113" s="58" t="str"/>
      <x:c r="G113" s="70"/>
      <x:c r="H113" s="70"/>
      <x:c r="I113" s="70"/>
      <x:c r="J113" s="70"/>
      <x:c r="K113" s="66" t="str">
        <x:f>IF(C113="","",MAX(0,G113-H113-I113-J113))</x:f>
      </x:c>
      <x:c r="L113" s="70"/>
      <x:c r="M113" s="70"/>
      <x:c r="N113" s="70" t="str"/>
      <x:c r="O113" s="66" t="str">
        <x:f>IF(C113="","",K113+M113)</x:f>
      </x:c>
      <x:c r="P113" s="58" t="str"/>
    </x:row>
    <x:row r="114">
      <x:c r="A114" s="58" t="str"/>
      <x:c r="B114" s="58" t="str"/>
      <x:c r="C114" s="58" t="str"/>
      <x:c r="D114" s="58" t="str"/>
      <x:c r="E114" s="58" t="str"/>
      <x:c r="F114" s="58" t="str"/>
      <x:c r="G114" s="70"/>
      <x:c r="H114" s="70"/>
      <x:c r="I114" s="70"/>
      <x:c r="J114" s="70"/>
      <x:c r="K114" s="66" t="str">
        <x:f>IF(C114="","",MAX(0,G114-H114-I114-J114))</x:f>
      </x:c>
      <x:c r="L114" s="70"/>
      <x:c r="M114" s="70"/>
      <x:c r="N114" s="70" t="str"/>
      <x:c r="O114" s="66" t="str">
        <x:f>IF(C114="","",K114+M114)</x:f>
      </x:c>
      <x:c r="P114" s="58" t="str"/>
    </x:row>
    <x:row r="115">
      <x:c r="A115" s="58" t="str"/>
      <x:c r="B115" s="58" t="str"/>
      <x:c r="C115" s="58" t="str"/>
      <x:c r="D115" s="58" t="str"/>
      <x:c r="E115" s="58" t="str"/>
      <x:c r="F115" s="58" t="str"/>
      <x:c r="G115" s="70"/>
      <x:c r="H115" s="70"/>
      <x:c r="I115" s="70"/>
      <x:c r="J115" s="70"/>
      <x:c r="K115" s="66" t="str">
        <x:f>IF(C115="","",MAX(0,G115-H115-I115-J115))</x:f>
      </x:c>
      <x:c r="L115" s="70"/>
      <x:c r="M115" s="70"/>
      <x:c r="N115" s="70" t="str"/>
      <x:c r="O115" s="66" t="str">
        <x:f>IF(C115="","",K115+M115)</x:f>
      </x:c>
      <x:c r="P115" s="58" t="str"/>
    </x:row>
    <x:row r="116">
      <x:c r="A116" s="58" t="str"/>
      <x:c r="B116" s="58" t="str"/>
      <x:c r="C116" s="58" t="str"/>
      <x:c r="D116" s="58" t="str"/>
      <x:c r="E116" s="58" t="str"/>
      <x:c r="F116" s="58" t="str"/>
      <x:c r="G116" s="70"/>
      <x:c r="H116" s="70"/>
      <x:c r="I116" s="70"/>
      <x:c r="J116" s="70"/>
      <x:c r="K116" s="66" t="str">
        <x:f>IF(C116="","",MAX(0,G116-H116-I116-J116))</x:f>
      </x:c>
      <x:c r="L116" s="70"/>
      <x:c r="M116" s="70"/>
      <x:c r="N116" s="70" t="str"/>
      <x:c r="O116" s="66" t="str">
        <x:f>IF(C116="","",K116+M116)</x:f>
      </x:c>
      <x:c r="P116" s="58" t="str"/>
    </x:row>
    <x:row r="117">
      <x:c r="A117" s="58" t="str"/>
      <x:c r="B117" s="58" t="str"/>
      <x:c r="C117" s="58" t="str"/>
      <x:c r="D117" s="58" t="str"/>
      <x:c r="E117" s="58" t="str"/>
      <x:c r="F117" s="58" t="str"/>
      <x:c r="G117" s="70"/>
      <x:c r="H117" s="70"/>
      <x:c r="I117" s="70"/>
      <x:c r="J117" s="70"/>
      <x:c r="K117" s="66" t="str">
        <x:f>IF(C117="","",MAX(0,G117-H117-I117-J117))</x:f>
      </x:c>
      <x:c r="L117" s="70"/>
      <x:c r="M117" s="70"/>
      <x:c r="N117" s="70" t="str"/>
      <x:c r="O117" s="66" t="str">
        <x:f>IF(C117="","",K117+M117)</x:f>
      </x:c>
      <x:c r="P117" s="58" t="str"/>
    </x:row>
    <x:row r="118">
      <x:c r="A118" s="58" t="str"/>
      <x:c r="B118" s="58" t="str"/>
      <x:c r="C118" s="58" t="str"/>
      <x:c r="D118" s="58" t="str"/>
      <x:c r="E118" s="58" t="str"/>
      <x:c r="F118" s="58" t="str"/>
      <x:c r="G118" s="70"/>
      <x:c r="H118" s="70"/>
      <x:c r="I118" s="70"/>
      <x:c r="J118" s="70"/>
      <x:c r="K118" s="66" t="str">
        <x:f>IF(C118="","",MAX(0,G118-H118-I118-J118))</x:f>
      </x:c>
      <x:c r="L118" s="70"/>
      <x:c r="M118" s="70"/>
      <x:c r="N118" s="70" t="str"/>
      <x:c r="O118" s="66" t="str">
        <x:f>IF(C118="","",K118+M118)</x:f>
      </x:c>
      <x:c r="P118" s="58" t="str"/>
    </x:row>
    <x:row r="119">
      <x:c r="A119" s="58" t="str"/>
      <x:c r="B119" s="58" t="str"/>
      <x:c r="C119" s="58" t="str"/>
      <x:c r="D119" s="58" t="str"/>
      <x:c r="E119" s="58" t="str"/>
      <x:c r="F119" s="58" t="str"/>
      <x:c r="G119" s="70"/>
      <x:c r="H119" s="70"/>
      <x:c r="I119" s="70"/>
      <x:c r="J119" s="70"/>
      <x:c r="K119" s="66" t="str">
        <x:f>IF(C119="","",MAX(0,G119-H119-I119-J119))</x:f>
      </x:c>
      <x:c r="L119" s="70"/>
      <x:c r="M119" s="70"/>
      <x:c r="N119" s="70" t="str"/>
      <x:c r="O119" s="66" t="str">
        <x:f>IF(C119="","",K119+M119)</x:f>
      </x:c>
      <x:c r="P119" s="58" t="str"/>
    </x:row>
    <x:row r="120">
      <x:c r="A120" s="58" t="str"/>
      <x:c r="B120" s="58" t="str"/>
      <x:c r="C120" s="58" t="str"/>
      <x:c r="D120" s="58" t="str"/>
      <x:c r="E120" s="58" t="str"/>
      <x:c r="F120" s="58" t="str"/>
      <x:c r="G120" s="70"/>
      <x:c r="H120" s="70"/>
      <x:c r="I120" s="70"/>
      <x:c r="J120" s="70"/>
      <x:c r="K120" s="66" t="str">
        <x:f>IF(C120="","",MAX(0,G120-H120-I120-J120))</x:f>
      </x:c>
      <x:c r="L120" s="70"/>
      <x:c r="M120" s="70"/>
      <x:c r="N120" s="70" t="str"/>
      <x:c r="O120" s="66" t="str">
        <x:f>IF(C120="","",K120+M120)</x:f>
      </x:c>
      <x:c r="P120" s="58" t="str"/>
    </x:row>
    <x:row r="121">
      <x:c r="A121" s="58" t="str"/>
      <x:c r="B121" s="58" t="str"/>
      <x:c r="C121" s="58" t="str"/>
      <x:c r="D121" s="58" t="str"/>
      <x:c r="E121" s="58" t="str"/>
      <x:c r="F121" s="58" t="str"/>
      <x:c r="G121" s="70"/>
      <x:c r="H121" s="70"/>
      <x:c r="I121" s="70"/>
      <x:c r="J121" s="70"/>
      <x:c r="K121" s="66" t="str">
        <x:f>IF(C121="","",MAX(0,G121-H121-I121-J121))</x:f>
      </x:c>
      <x:c r="L121" s="70"/>
      <x:c r="M121" s="70"/>
      <x:c r="N121" s="70" t="str"/>
      <x:c r="O121" s="66" t="str">
        <x:f>IF(C121="","",K121+M121)</x:f>
      </x:c>
      <x:c r="P121" s="58" t="str"/>
    </x:row>
    <x:row r="122">
      <x:c r="A122" s="58" t="str"/>
      <x:c r="B122" s="58" t="str"/>
      <x:c r="C122" s="58" t="str"/>
      <x:c r="D122" s="58" t="str"/>
      <x:c r="E122" s="58" t="str"/>
      <x:c r="F122" s="58" t="str"/>
      <x:c r="G122" s="70"/>
      <x:c r="H122" s="70"/>
      <x:c r="I122" s="70"/>
      <x:c r="J122" s="70"/>
      <x:c r="K122" s="66" t="str">
        <x:f>IF(C122="","",MAX(0,G122-H122-I122-J122))</x:f>
      </x:c>
      <x:c r="L122" s="70"/>
      <x:c r="M122" s="70"/>
      <x:c r="N122" s="70" t="str"/>
      <x:c r="O122" s="66" t="str">
        <x:f>IF(C122="","",K122+M122)</x:f>
      </x:c>
      <x:c r="P122" s="58" t="str"/>
    </x:row>
    <x:row r="123">
      <x:c r="A123" s="58" t="str"/>
      <x:c r="B123" s="58" t="str"/>
      <x:c r="C123" s="58" t="str"/>
      <x:c r="D123" s="58" t="str"/>
      <x:c r="E123" s="58" t="str"/>
      <x:c r="F123" s="58" t="str"/>
      <x:c r="G123" s="70"/>
      <x:c r="H123" s="70"/>
      <x:c r="I123" s="70"/>
      <x:c r="J123" s="70"/>
      <x:c r="K123" s="66" t="str">
        <x:f>IF(C123="","",MAX(0,G123-H123-I123-J123))</x:f>
      </x:c>
      <x:c r="L123" s="70"/>
      <x:c r="M123" s="70"/>
      <x:c r="N123" s="70" t="str"/>
      <x:c r="O123" s="66" t="str">
        <x:f>IF(C123="","",K123+M123)</x:f>
      </x:c>
      <x:c r="P123" s="58" t="str"/>
    </x:row>
    <x:row r="124">
      <x:c r="A124" s="58" t="str"/>
      <x:c r="B124" s="58" t="str"/>
      <x:c r="C124" s="58" t="str"/>
      <x:c r="D124" s="58" t="str"/>
      <x:c r="E124" s="58" t="str"/>
      <x:c r="F124" s="58" t="str"/>
      <x:c r="G124" s="70"/>
      <x:c r="H124" s="70"/>
      <x:c r="I124" s="70"/>
      <x:c r="J124" s="70"/>
      <x:c r="K124" s="66" t="str">
        <x:f>IF(C124="","",MAX(0,G124-H124-I124-J124))</x:f>
      </x:c>
      <x:c r="L124" s="70"/>
      <x:c r="M124" s="70"/>
      <x:c r="N124" s="70" t="str"/>
      <x:c r="O124" s="66" t="str">
        <x:f>IF(C124="","",K124+M124)</x:f>
      </x:c>
      <x:c r="P124" s="58" t="str"/>
    </x:row>
    <x:row r="125">
      <x:c r="A125" s="58" t="str"/>
      <x:c r="B125" s="58" t="str"/>
      <x:c r="C125" s="58" t="str"/>
      <x:c r="D125" s="58" t="str"/>
      <x:c r="E125" s="58" t="str"/>
      <x:c r="F125" s="58" t="str"/>
      <x:c r="G125" s="70"/>
      <x:c r="H125" s="70"/>
      <x:c r="I125" s="70"/>
      <x:c r="J125" s="70"/>
      <x:c r="K125" s="66" t="str">
        <x:f>IF(C125="","",MAX(0,G125-H125-I125-J125))</x:f>
      </x:c>
      <x:c r="L125" s="70"/>
      <x:c r="M125" s="70"/>
      <x:c r="N125" s="70" t="str"/>
      <x:c r="O125" s="66" t="str">
        <x:f>IF(C125="","",K125+M125)</x:f>
      </x:c>
      <x:c r="P125" s="58" t="str"/>
    </x:row>
    <x:row r="126">
      <x:c r="A126" s="58" t="str"/>
      <x:c r="B126" s="58" t="str"/>
      <x:c r="C126" s="58" t="str"/>
      <x:c r="D126" s="58" t="str"/>
      <x:c r="E126" s="58" t="str"/>
      <x:c r="F126" s="58" t="str"/>
      <x:c r="G126" s="70"/>
      <x:c r="H126" s="70"/>
      <x:c r="I126" s="70"/>
      <x:c r="J126" s="70"/>
      <x:c r="K126" s="66" t="str">
        <x:f>IF(C126="","",MAX(0,G126-H126-I126-J126))</x:f>
      </x:c>
      <x:c r="L126" s="70"/>
      <x:c r="M126" s="70"/>
      <x:c r="N126" s="70" t="str"/>
      <x:c r="O126" s="66" t="str">
        <x:f>IF(C126="","",K126+M126)</x:f>
      </x:c>
      <x:c r="P126" s="58" t="str"/>
    </x:row>
    <x:row r="127">
      <x:c r="A127" s="58" t="str"/>
      <x:c r="B127" s="58" t="str"/>
      <x:c r="C127" s="58" t="str"/>
      <x:c r="D127" s="58" t="str"/>
      <x:c r="E127" s="58" t="str"/>
      <x:c r="F127" s="58" t="str"/>
      <x:c r="G127" s="70"/>
      <x:c r="H127" s="70"/>
      <x:c r="I127" s="70"/>
      <x:c r="J127" s="70"/>
      <x:c r="K127" s="66" t="str">
        <x:f>IF(C127="","",MAX(0,G127-H127-I127-J127))</x:f>
      </x:c>
      <x:c r="L127" s="70"/>
      <x:c r="M127" s="70"/>
      <x:c r="N127" s="70" t="str"/>
      <x:c r="O127" s="66" t="str">
        <x:f>IF(C127="","",K127+M127)</x:f>
      </x:c>
      <x:c r="P127" s="58" t="str"/>
    </x:row>
    <x:row r="128">
      <x:c r="A128" s="58" t="str"/>
      <x:c r="B128" s="58" t="str"/>
      <x:c r="C128" s="58" t="str"/>
      <x:c r="D128" s="58" t="str"/>
      <x:c r="E128" s="58" t="str"/>
      <x:c r="F128" s="58" t="str"/>
      <x:c r="G128" s="70"/>
      <x:c r="H128" s="70"/>
      <x:c r="I128" s="70"/>
      <x:c r="J128" s="70"/>
      <x:c r="K128" s="66" t="str">
        <x:f>IF(C128="","",MAX(0,G128-H128-I128-J128))</x:f>
      </x:c>
      <x:c r="L128" s="70"/>
      <x:c r="M128" s="70"/>
      <x:c r="N128" s="70" t="str"/>
      <x:c r="O128" s="66" t="str">
        <x:f>IF(C128="","",K128+M128)</x:f>
      </x:c>
      <x:c r="P128" s="58" t="str"/>
    </x:row>
    <x:row r="129">
      <x:c r="A129" s="58" t="str"/>
      <x:c r="B129" s="58" t="str"/>
      <x:c r="C129" s="58" t="str"/>
      <x:c r="D129" s="58" t="str"/>
      <x:c r="E129" s="58" t="str"/>
      <x:c r="F129" s="58" t="str"/>
      <x:c r="G129" s="70"/>
      <x:c r="H129" s="70"/>
      <x:c r="I129" s="70"/>
      <x:c r="J129" s="70"/>
      <x:c r="K129" s="66" t="str">
        <x:f>IF(C129="","",MAX(0,G129-H129-I129-J129))</x:f>
      </x:c>
      <x:c r="L129" s="70"/>
      <x:c r="M129" s="70"/>
      <x:c r="N129" s="70" t="str"/>
      <x:c r="O129" s="66" t="str">
        <x:f>IF(C129="","",K129+M129)</x:f>
      </x:c>
      <x:c r="P129" s="58" t="str"/>
    </x:row>
    <x:row r="130">
      <x:c r="A130" s="58" t="str"/>
      <x:c r="B130" s="58" t="str"/>
      <x:c r="C130" s="58" t="str"/>
      <x:c r="D130" s="58" t="str"/>
      <x:c r="E130" s="58" t="str"/>
      <x:c r="F130" s="58" t="str"/>
      <x:c r="G130" s="70"/>
      <x:c r="H130" s="70"/>
      <x:c r="I130" s="70"/>
      <x:c r="J130" s="70"/>
      <x:c r="K130" s="66" t="str">
        <x:f>IF(C130="","",MAX(0,G130-H130-I130-J130))</x:f>
      </x:c>
      <x:c r="L130" s="70"/>
      <x:c r="M130" s="70"/>
      <x:c r="N130" s="70" t="str"/>
      <x:c r="O130" s="66" t="str">
        <x:f>IF(C130="","",K130+M130)</x:f>
      </x:c>
      <x:c r="P130" s="58" t="str"/>
    </x:row>
    <x:row r="131">
      <x:c r="A131" s="58" t="str"/>
      <x:c r="B131" s="58" t="str"/>
      <x:c r="C131" s="58" t="str"/>
      <x:c r="D131" s="58" t="str"/>
      <x:c r="E131" s="58" t="str"/>
      <x:c r="F131" s="58" t="str"/>
      <x:c r="G131" s="70"/>
      <x:c r="H131" s="70"/>
      <x:c r="I131" s="70"/>
      <x:c r="J131" s="70"/>
      <x:c r="K131" s="66" t="str">
        <x:f>IF(C131="","",MAX(0,G131-H131-I131-J131))</x:f>
      </x:c>
      <x:c r="L131" s="70"/>
      <x:c r="M131" s="70"/>
      <x:c r="N131" s="70" t="str"/>
      <x:c r="O131" s="66" t="str">
        <x:f>IF(C131="","",K131+M131)</x:f>
      </x:c>
      <x:c r="P131" s="58" t="str"/>
    </x:row>
    <x:row r="132">
      <x:c r="A132" s="58" t="str"/>
      <x:c r="B132" s="58" t="str"/>
      <x:c r="C132" s="58" t="str"/>
      <x:c r="D132" s="58" t="str"/>
      <x:c r="E132" s="58" t="str"/>
      <x:c r="F132" s="58" t="str"/>
      <x:c r="G132" s="70"/>
      <x:c r="H132" s="70"/>
      <x:c r="I132" s="70"/>
      <x:c r="J132" s="70"/>
      <x:c r="K132" s="66" t="str">
        <x:f>IF(C132="","",MAX(0,G132-H132-I132-J132))</x:f>
      </x:c>
      <x:c r="L132" s="70"/>
      <x:c r="M132" s="70"/>
      <x:c r="N132" s="70" t="str"/>
      <x:c r="O132" s="66" t="str">
        <x:f>IF(C132="","",K132+M132)</x:f>
      </x:c>
      <x:c r="P132" s="58" t="str"/>
    </x:row>
    <x:row r="133">
      <x:c r="A133" s="58" t="str"/>
      <x:c r="B133" s="58" t="str"/>
      <x:c r="C133" s="58" t="str"/>
      <x:c r="D133" s="58" t="str"/>
      <x:c r="E133" s="58" t="str"/>
      <x:c r="F133" s="58" t="str"/>
      <x:c r="G133" s="70"/>
      <x:c r="H133" s="70"/>
      <x:c r="I133" s="70"/>
      <x:c r="J133" s="70"/>
      <x:c r="K133" s="66" t="str">
        <x:f>IF(C133="","",MAX(0,G133-H133-I133-J133))</x:f>
      </x:c>
      <x:c r="L133" s="70"/>
      <x:c r="M133" s="70"/>
      <x:c r="N133" s="70" t="str"/>
      <x:c r="O133" s="66" t="str">
        <x:f>IF(C133="","",K133+M133)</x:f>
      </x:c>
      <x:c r="P133" s="58" t="str"/>
    </x:row>
    <x:row r="134">
      <x:c r="A134" s="58" t="str"/>
      <x:c r="B134" s="58" t="str"/>
      <x:c r="C134" s="58" t="str"/>
      <x:c r="D134" s="58" t="str"/>
      <x:c r="E134" s="58" t="str"/>
      <x:c r="F134" s="58" t="str"/>
      <x:c r="G134" s="70"/>
      <x:c r="H134" s="70"/>
      <x:c r="I134" s="70"/>
      <x:c r="J134" s="70"/>
      <x:c r="K134" s="66" t="str">
        <x:f>IF(C134="","",MAX(0,G134-H134-I134-J134))</x:f>
      </x:c>
      <x:c r="L134" s="70"/>
      <x:c r="M134" s="70"/>
      <x:c r="N134" s="70" t="str"/>
      <x:c r="O134" s="66" t="str">
        <x:f>IF(C134="","",K134+M134)</x:f>
      </x:c>
      <x:c r="P134" s="58" t="str"/>
    </x:row>
    <x:row r="135">
      <x:c r="A135" s="58" t="str"/>
      <x:c r="B135" s="58" t="str"/>
      <x:c r="C135" s="58" t="str"/>
      <x:c r="D135" s="58" t="str"/>
      <x:c r="E135" s="58" t="str"/>
      <x:c r="F135" s="58" t="str"/>
      <x:c r="G135" s="70"/>
      <x:c r="H135" s="70"/>
      <x:c r="I135" s="70"/>
      <x:c r="J135" s="70"/>
      <x:c r="K135" s="66" t="str">
        <x:f>IF(C135="","",MAX(0,G135-H135-I135-J135))</x:f>
      </x:c>
      <x:c r="L135" s="70"/>
      <x:c r="M135" s="70"/>
      <x:c r="N135" s="70" t="str"/>
      <x:c r="O135" s="66" t="str">
        <x:f>IF(C135="","",K135+M135)</x:f>
      </x:c>
      <x:c r="P135" s="58" t="str"/>
    </x:row>
    <x:row r="136">
      <x:c r="A136" s="58" t="str"/>
      <x:c r="B136" s="58" t="str"/>
      <x:c r="C136" s="58" t="str"/>
      <x:c r="D136" s="58" t="str"/>
      <x:c r="E136" s="58" t="str"/>
      <x:c r="F136" s="58" t="str"/>
      <x:c r="G136" s="70"/>
      <x:c r="H136" s="70"/>
      <x:c r="I136" s="70"/>
      <x:c r="J136" s="70"/>
      <x:c r="K136" s="66" t="str">
        <x:f>IF(C136="","",MAX(0,G136-H136-I136-J136))</x:f>
      </x:c>
      <x:c r="L136" s="70"/>
      <x:c r="M136" s="70"/>
      <x:c r="N136" s="70" t="str"/>
      <x:c r="O136" s="66" t="str">
        <x:f>IF(C136="","",K136+M136)</x:f>
      </x:c>
      <x:c r="P136" s="58" t="str"/>
    </x:row>
    <x:row r="137">
      <x:c r="A137" s="58" t="str"/>
      <x:c r="B137" s="58" t="str"/>
      <x:c r="C137" s="58" t="str"/>
      <x:c r="D137" s="58" t="str"/>
      <x:c r="E137" s="58" t="str"/>
      <x:c r="F137" s="58" t="str"/>
      <x:c r="G137" s="70"/>
      <x:c r="H137" s="70"/>
      <x:c r="I137" s="70"/>
      <x:c r="J137" s="70"/>
      <x:c r="K137" s="66" t="str">
        <x:f>IF(C137="","",MAX(0,G137-H137-I137-J137))</x:f>
      </x:c>
      <x:c r="L137" s="70"/>
      <x:c r="M137" s="70"/>
      <x:c r="N137" s="70" t="str"/>
      <x:c r="O137" s="66" t="str">
        <x:f>IF(C137="","",K137+M137)</x:f>
      </x:c>
      <x:c r="P137" s="58" t="str"/>
    </x:row>
    <x:row r="138">
      <x:c r="A138" s="58" t="str"/>
      <x:c r="B138" s="58" t="str"/>
      <x:c r="C138" s="58" t="str"/>
      <x:c r="D138" s="58" t="str"/>
      <x:c r="E138" s="58" t="str"/>
      <x:c r="F138" s="58" t="str"/>
      <x:c r="G138" s="70"/>
      <x:c r="H138" s="70"/>
      <x:c r="I138" s="70"/>
      <x:c r="J138" s="70"/>
      <x:c r="K138" s="66" t="str">
        <x:f>IF(C138="","",MAX(0,G138-H138-I138-J138))</x:f>
      </x:c>
      <x:c r="L138" s="70"/>
      <x:c r="M138" s="70"/>
      <x:c r="N138" s="70" t="str"/>
      <x:c r="O138" s="66" t="str">
        <x:f>IF(C138="","",K138+M138)</x:f>
      </x:c>
      <x:c r="P138" s="58" t="str"/>
    </x:row>
    <x:row r="139">
      <x:c r="A139" s="58" t="str"/>
      <x:c r="B139" s="58" t="str"/>
      <x:c r="C139" s="58" t="str"/>
      <x:c r="D139" s="58" t="str"/>
      <x:c r="E139" s="58" t="str"/>
      <x:c r="F139" s="58" t="str"/>
      <x:c r="G139" s="70"/>
      <x:c r="H139" s="70"/>
      <x:c r="I139" s="70"/>
      <x:c r="J139" s="70"/>
      <x:c r="K139" s="66" t="str">
        <x:f>IF(C139="","",MAX(0,G139-H139-I139-J139))</x:f>
      </x:c>
      <x:c r="L139" s="70"/>
      <x:c r="M139" s="70"/>
      <x:c r="N139" s="70" t="str"/>
      <x:c r="O139" s="66" t="str">
        <x:f>IF(C139="","",K139+M139)</x:f>
      </x:c>
      <x:c r="P139" s="58" t="str"/>
    </x:row>
    <x:row r="140">
      <x:c r="A140" s="58" t="str"/>
      <x:c r="B140" s="58" t="str"/>
      <x:c r="C140" s="58" t="str"/>
      <x:c r="D140" s="58" t="str"/>
      <x:c r="E140" s="58" t="str"/>
      <x:c r="F140" s="58" t="str"/>
      <x:c r="G140" s="70"/>
      <x:c r="H140" s="70"/>
      <x:c r="I140" s="70"/>
      <x:c r="J140" s="70"/>
      <x:c r="K140" s="66" t="str">
        <x:f>IF(C140="","",MAX(0,G140-H140-I140-J140))</x:f>
      </x:c>
      <x:c r="L140" s="70"/>
      <x:c r="M140" s="70"/>
      <x:c r="N140" s="70" t="str"/>
      <x:c r="O140" s="66" t="str">
        <x:f>IF(C140="","",K140+M140)</x:f>
      </x:c>
      <x:c r="P140" s="58" t="str"/>
    </x:row>
    <x:row r="141">
      <x:c r="A141" s="58" t="str"/>
      <x:c r="B141" s="58" t="str"/>
      <x:c r="C141" s="58" t="str"/>
      <x:c r="D141" s="58" t="str"/>
      <x:c r="E141" s="58" t="str"/>
      <x:c r="F141" s="58" t="str"/>
      <x:c r="G141" s="70"/>
      <x:c r="H141" s="70"/>
      <x:c r="I141" s="70"/>
      <x:c r="J141" s="70"/>
      <x:c r="K141" s="66" t="str">
        <x:f>IF(C141="","",MAX(0,G141-H141-I141-J141))</x:f>
      </x:c>
      <x:c r="L141" s="70"/>
      <x:c r="M141" s="70"/>
      <x:c r="N141" s="70" t="str"/>
      <x:c r="O141" s="66" t="str">
        <x:f>IF(C141="","",K141+M141)</x:f>
      </x:c>
      <x:c r="P141" s="58" t="str"/>
    </x:row>
    <x:row r="142">
      <x:c r="A142" s="58" t="str"/>
      <x:c r="B142" s="58" t="str"/>
      <x:c r="C142" s="58" t="str"/>
      <x:c r="D142" s="58" t="str"/>
      <x:c r="E142" s="58" t="str"/>
      <x:c r="F142" s="58" t="str"/>
      <x:c r="G142" s="70"/>
      <x:c r="H142" s="70"/>
      <x:c r="I142" s="70"/>
      <x:c r="J142" s="70"/>
      <x:c r="K142" s="66" t="str">
        <x:f>IF(C142="","",MAX(0,G142-H142-I142-J142))</x:f>
      </x:c>
      <x:c r="L142" s="70"/>
      <x:c r="M142" s="70"/>
      <x:c r="N142" s="70" t="str"/>
      <x:c r="O142" s="66" t="str">
        <x:f>IF(C142="","",K142+M142)</x:f>
      </x:c>
      <x:c r="P142" s="58" t="str"/>
    </x:row>
    <x:row r="143">
      <x:c r="A143" s="58" t="str"/>
      <x:c r="B143" s="58" t="str"/>
      <x:c r="C143" s="58" t="str"/>
      <x:c r="D143" s="58" t="str"/>
      <x:c r="E143" s="58" t="str"/>
      <x:c r="F143" s="58" t="str"/>
      <x:c r="G143" s="70"/>
      <x:c r="H143" s="70"/>
      <x:c r="I143" s="70"/>
      <x:c r="J143" s="70"/>
      <x:c r="K143" s="66" t="str">
        <x:f>IF(C143="","",MAX(0,G143-H143-I143-J143))</x:f>
      </x:c>
      <x:c r="L143" s="70"/>
      <x:c r="M143" s="70"/>
      <x:c r="N143" s="70" t="str"/>
      <x:c r="O143" s="66" t="str">
        <x:f>IF(C143="","",K143+M143)</x:f>
      </x:c>
      <x:c r="P143" s="58" t="str"/>
    </x:row>
    <x:row r="144">
      <x:c r="A144" s="58" t="str"/>
      <x:c r="B144" s="58" t="str"/>
      <x:c r="C144" s="58" t="str"/>
      <x:c r="D144" s="58" t="str"/>
      <x:c r="E144" s="58" t="str"/>
      <x:c r="F144" s="58" t="str"/>
      <x:c r="G144" s="70"/>
      <x:c r="H144" s="70"/>
      <x:c r="I144" s="70"/>
      <x:c r="J144" s="70"/>
      <x:c r="K144" s="66" t="str">
        <x:f>IF(C144="","",MAX(0,G144-H144-I144-J144))</x:f>
      </x:c>
      <x:c r="L144" s="70"/>
      <x:c r="M144" s="70"/>
      <x:c r="N144" s="70" t="str"/>
      <x:c r="O144" s="66" t="str">
        <x:f>IF(C144="","",K144+M144)</x:f>
      </x:c>
      <x:c r="P144" s="58" t="str"/>
    </x:row>
    <x:row r="145">
      <x:c r="A145" s="58" t="str"/>
      <x:c r="B145" s="58" t="str"/>
      <x:c r="C145" s="58" t="str"/>
      <x:c r="D145" s="58" t="str"/>
      <x:c r="E145" s="58" t="str"/>
      <x:c r="F145" s="58" t="str"/>
      <x:c r="G145" s="70"/>
      <x:c r="H145" s="70"/>
      <x:c r="I145" s="70"/>
      <x:c r="J145" s="70"/>
      <x:c r="K145" s="66" t="str">
        <x:f>IF(C145="","",MAX(0,G145-H145-I145-J145))</x:f>
      </x:c>
      <x:c r="L145" s="70"/>
      <x:c r="M145" s="70"/>
      <x:c r="N145" s="70" t="str"/>
      <x:c r="O145" s="66" t="str">
        <x:f>IF(C145="","",K145+M145)</x:f>
      </x:c>
      <x:c r="P145" s="58" t="str"/>
    </x:row>
    <x:row r="146">
      <x:c r="A146" s="58" t="str"/>
      <x:c r="B146" s="58" t="str"/>
      <x:c r="C146" s="58" t="str"/>
      <x:c r="D146" s="58" t="str"/>
      <x:c r="E146" s="58" t="str"/>
      <x:c r="F146" s="58" t="str"/>
      <x:c r="G146" s="70"/>
      <x:c r="H146" s="70"/>
      <x:c r="I146" s="70"/>
      <x:c r="J146" s="70"/>
      <x:c r="K146" s="66" t="str">
        <x:f>IF(C146="","",MAX(0,G146-H146-I146-J146))</x:f>
      </x:c>
      <x:c r="L146" s="70"/>
      <x:c r="M146" s="70"/>
      <x:c r="N146" s="70" t="str"/>
      <x:c r="O146" s="66" t="str">
        <x:f>IF(C146="","",K146+M146)</x:f>
      </x:c>
      <x:c r="P146" s="58" t="str"/>
    </x:row>
    <x:row r="147">
      <x:c r="A147" s="58" t="str"/>
      <x:c r="B147" s="58" t="str"/>
      <x:c r="C147" s="58" t="str"/>
      <x:c r="D147" s="58" t="str"/>
      <x:c r="E147" s="58" t="str"/>
      <x:c r="F147" s="58" t="str"/>
      <x:c r="G147" s="70"/>
      <x:c r="H147" s="70"/>
      <x:c r="I147" s="70"/>
      <x:c r="J147" s="70"/>
      <x:c r="K147" s="66" t="str">
        <x:f>IF(C147="","",MAX(0,G147-H147-I147-J147))</x:f>
      </x:c>
      <x:c r="L147" s="70"/>
      <x:c r="M147" s="70"/>
      <x:c r="N147" s="70" t="str"/>
      <x:c r="O147" s="66" t="str">
        <x:f>IF(C147="","",K147+M147)</x:f>
      </x:c>
      <x:c r="P147" s="58" t="str"/>
    </x:row>
    <x:row r="148">
      <x:c r="A148" s="58" t="str"/>
      <x:c r="B148" s="58" t="str"/>
      <x:c r="C148" s="58" t="str"/>
      <x:c r="D148" s="58" t="str"/>
      <x:c r="E148" s="58" t="str"/>
      <x:c r="F148" s="58" t="str"/>
      <x:c r="G148" s="70"/>
      <x:c r="H148" s="70"/>
      <x:c r="I148" s="70"/>
      <x:c r="J148" s="70"/>
      <x:c r="K148" s="66" t="str">
        <x:f>IF(C148="","",MAX(0,G148-H148-I148-J148))</x:f>
      </x:c>
      <x:c r="L148" s="70"/>
      <x:c r="M148" s="70"/>
      <x:c r="N148" s="70" t="str"/>
      <x:c r="O148" s="66" t="str">
        <x:f>IF(C148="","",K148+M148)</x:f>
      </x:c>
      <x:c r="P148" s="58" t="str"/>
    </x:row>
    <x:row r="149">
      <x:c r="A149" s="58" t="str"/>
      <x:c r="B149" s="58" t="str"/>
      <x:c r="C149" s="58" t="str"/>
      <x:c r="D149" s="58" t="str"/>
      <x:c r="E149" s="58" t="str"/>
      <x:c r="F149" s="58" t="str"/>
      <x:c r="G149" s="70"/>
      <x:c r="H149" s="70"/>
      <x:c r="I149" s="70"/>
      <x:c r="J149" s="70"/>
      <x:c r="K149" s="66" t="str">
        <x:f>IF(C149="","",MAX(0,G149-H149-I149-J149))</x:f>
      </x:c>
      <x:c r="L149" s="70"/>
      <x:c r="M149" s="70"/>
      <x:c r="N149" s="70" t="str"/>
      <x:c r="O149" s="66" t="str">
        <x:f>IF(C149="","",K149+M149)</x:f>
      </x:c>
      <x:c r="P149" s="58" t="str"/>
    </x:row>
    <x:row r="150">
      <x:c r="A150" s="58" t="str"/>
      <x:c r="B150" s="58" t="str"/>
      <x:c r="C150" s="58" t="str"/>
      <x:c r="D150" s="58" t="str"/>
      <x:c r="E150" s="58" t="str"/>
      <x:c r="F150" s="58" t="str"/>
      <x:c r="G150" s="70"/>
      <x:c r="H150" s="70"/>
      <x:c r="I150" s="70"/>
      <x:c r="J150" s="70"/>
      <x:c r="K150" s="66" t="str">
        <x:f>IF(C150="","",MAX(0,G150-H150-I150-J150))</x:f>
      </x:c>
      <x:c r="L150" s="70"/>
      <x:c r="M150" s="70"/>
      <x:c r="N150" s="70" t="str"/>
      <x:c r="O150" s="66" t="str">
        <x:f>IF(C150="","",K150+M150)</x:f>
      </x:c>
      <x:c r="P150" s="58" t="str"/>
    </x:row>
    <x:row r="151">
      <x:c r="A151" s="58" t="str"/>
      <x:c r="B151" s="58" t="str"/>
      <x:c r="C151" s="58" t="str"/>
      <x:c r="D151" s="58" t="str"/>
      <x:c r="E151" s="58" t="str"/>
      <x:c r="F151" s="58" t="str"/>
      <x:c r="G151" s="70"/>
      <x:c r="H151" s="70"/>
      <x:c r="I151" s="70"/>
      <x:c r="J151" s="70"/>
      <x:c r="K151" s="66" t="str">
        <x:f>IF(C151="","",MAX(0,G151-H151-I151-J151))</x:f>
      </x:c>
      <x:c r="L151" s="70"/>
      <x:c r="M151" s="70"/>
      <x:c r="N151" s="70" t="str"/>
      <x:c r="O151" s="66" t="str">
        <x:f>IF(C151="","",K151+M151)</x:f>
      </x:c>
      <x:c r="P151" s="58" t="str"/>
    </x:row>
    <x:row r="152">
      <x:c r="A152" s="58" t="str"/>
      <x:c r="B152" s="58" t="str"/>
      <x:c r="C152" s="58" t="str"/>
      <x:c r="D152" s="58" t="str"/>
      <x:c r="E152" s="58" t="str"/>
      <x:c r="F152" s="58" t="str"/>
      <x:c r="G152" s="70"/>
      <x:c r="H152" s="70"/>
      <x:c r="I152" s="70"/>
      <x:c r="J152" s="70"/>
      <x:c r="K152" s="66" t="str">
        <x:f>IF(C152="","",MAX(0,G152-H152-I152-J152))</x:f>
      </x:c>
      <x:c r="L152" s="70"/>
      <x:c r="M152" s="70"/>
      <x:c r="N152" s="70" t="str"/>
      <x:c r="O152" s="66" t="str">
        <x:f>IF(C152="","",K152+M152)</x:f>
      </x:c>
      <x:c r="P152" s="58" t="str"/>
    </x:row>
    <x:row r="153">
      <x:c r="A153" s="58" t="str"/>
      <x:c r="B153" s="58" t="str"/>
      <x:c r="C153" s="58" t="str"/>
      <x:c r="D153" s="58" t="str"/>
      <x:c r="E153" s="58" t="str"/>
      <x:c r="F153" s="58" t="str"/>
      <x:c r="G153" s="70"/>
      <x:c r="H153" s="70"/>
      <x:c r="I153" s="70"/>
      <x:c r="J153" s="70"/>
      <x:c r="K153" s="66" t="str">
        <x:f>IF(C153="","",MAX(0,G153-H153-I153-J153))</x:f>
      </x:c>
      <x:c r="L153" s="70"/>
      <x:c r="M153" s="70"/>
      <x:c r="N153" s="70" t="str"/>
      <x:c r="O153" s="66" t="str">
        <x:f>IF(C153="","",K153+M153)</x:f>
      </x:c>
      <x:c r="P153" s="58" t="str"/>
    </x:row>
    <x:row r="154">
      <x:c r="A154" s="58" t="str"/>
      <x:c r="B154" s="58" t="str"/>
      <x:c r="C154" s="58" t="str"/>
      <x:c r="D154" s="58" t="str"/>
      <x:c r="E154" s="58" t="str"/>
      <x:c r="F154" s="58" t="str"/>
      <x:c r="G154" s="70"/>
      <x:c r="H154" s="70"/>
      <x:c r="I154" s="70"/>
      <x:c r="J154" s="70"/>
      <x:c r="K154" s="66" t="str">
        <x:f>IF(C154="","",MAX(0,G154-H154-I154-J154))</x:f>
      </x:c>
      <x:c r="L154" s="70"/>
      <x:c r="M154" s="70"/>
      <x:c r="N154" s="70" t="str"/>
      <x:c r="O154" s="66" t="str">
        <x:f>IF(C154="","",K154+M154)</x:f>
      </x:c>
      <x:c r="P154" s="58" t="str"/>
    </x:row>
    <x:row r="155">
      <x:c r="A155" s="58" t="str"/>
      <x:c r="B155" s="58" t="str"/>
      <x:c r="C155" s="58" t="str"/>
      <x:c r="D155" s="58" t="str"/>
      <x:c r="E155" s="58" t="str"/>
      <x:c r="F155" s="58" t="str"/>
      <x:c r="G155" s="70"/>
      <x:c r="H155" s="70"/>
      <x:c r="I155" s="70"/>
      <x:c r="J155" s="70"/>
      <x:c r="K155" s="66" t="str">
        <x:f>IF(C155="","",MAX(0,G155-H155-I155-J155))</x:f>
      </x:c>
      <x:c r="L155" s="70"/>
      <x:c r="M155" s="70"/>
      <x:c r="N155" s="70" t="str"/>
      <x:c r="O155" s="66" t="str">
        <x:f>IF(C155="","",K155+M155)</x:f>
      </x:c>
      <x:c r="P155" s="58" t="str"/>
    </x:row>
    <x:row r="156">
      <x:c r="A156" s="58" t="str"/>
      <x:c r="B156" s="58" t="str"/>
      <x:c r="C156" s="58" t="str"/>
      <x:c r="D156" s="58" t="str"/>
      <x:c r="E156" s="58" t="str"/>
      <x:c r="F156" s="58" t="str"/>
      <x:c r="G156" s="70"/>
      <x:c r="H156" s="70"/>
      <x:c r="I156" s="70"/>
      <x:c r="J156" s="70"/>
      <x:c r="K156" s="66" t="str">
        <x:f>IF(C156="","",MAX(0,G156-H156-I156-J156))</x:f>
      </x:c>
      <x:c r="L156" s="70"/>
      <x:c r="M156" s="70"/>
      <x:c r="N156" s="70" t="str"/>
      <x:c r="O156" s="66" t="str">
        <x:f>IF(C156="","",K156+M156)</x:f>
      </x:c>
      <x:c r="P156" s="58" t="str"/>
    </x:row>
    <x:row r="157">
      <x:c r="A157" s="58" t="str"/>
      <x:c r="B157" s="58" t="str"/>
      <x:c r="C157" s="58" t="str"/>
      <x:c r="D157" s="58" t="str"/>
      <x:c r="E157" s="58" t="str"/>
      <x:c r="F157" s="58" t="str"/>
      <x:c r="G157" s="70"/>
      <x:c r="H157" s="70"/>
      <x:c r="I157" s="70"/>
      <x:c r="J157" s="70"/>
      <x:c r="K157" s="66" t="str">
        <x:f>IF(C157="","",MAX(0,G157-H157-I157-J157))</x:f>
      </x:c>
      <x:c r="L157" s="70"/>
      <x:c r="M157" s="70"/>
      <x:c r="N157" s="70" t="str"/>
      <x:c r="O157" s="66" t="str">
        <x:f>IF(C157="","",K157+M157)</x:f>
      </x:c>
      <x:c r="P157" s="58" t="str"/>
    </x:row>
    <x:row r="158">
      <x:c r="A158" s="58" t="str"/>
      <x:c r="B158" s="58" t="str"/>
      <x:c r="C158" s="58" t="str"/>
      <x:c r="D158" s="58" t="str"/>
      <x:c r="E158" s="58" t="str"/>
      <x:c r="F158" s="58" t="str"/>
      <x:c r="G158" s="70"/>
      <x:c r="H158" s="70"/>
      <x:c r="I158" s="70"/>
      <x:c r="J158" s="70"/>
      <x:c r="K158" s="66" t="str">
        <x:f>IF(C158="","",MAX(0,G158-H158-I158-J158))</x:f>
      </x:c>
      <x:c r="L158" s="70"/>
      <x:c r="M158" s="70"/>
      <x:c r="N158" s="70" t="str"/>
      <x:c r="O158" s="66" t="str">
        <x:f>IF(C158="","",K158+M158)</x:f>
      </x:c>
      <x:c r="P158" s="58" t="str"/>
    </x:row>
    <x:row r="159">
      <x:c r="A159" s="58" t="str"/>
      <x:c r="B159" s="58" t="str"/>
      <x:c r="C159" s="58" t="str"/>
      <x:c r="D159" s="58" t="str"/>
      <x:c r="E159" s="58" t="str"/>
      <x:c r="F159" s="58" t="str"/>
      <x:c r="G159" s="70"/>
      <x:c r="H159" s="70"/>
      <x:c r="I159" s="70"/>
      <x:c r="J159" s="70"/>
      <x:c r="K159" s="66" t="str">
        <x:f>IF(C159="","",MAX(0,G159-H159-I159-J159))</x:f>
      </x:c>
      <x:c r="L159" s="70"/>
      <x:c r="M159" s="70"/>
      <x:c r="N159" s="70" t="str"/>
      <x:c r="O159" s="66" t="str">
        <x:f>IF(C159="","",K159+M159)</x:f>
      </x:c>
      <x:c r="P159" s="58" t="str"/>
    </x:row>
    <x:row r="160">
      <x:c r="A160" s="58" t="str"/>
      <x:c r="B160" s="58" t="str"/>
      <x:c r="C160" s="58" t="str"/>
      <x:c r="D160" s="58" t="str"/>
      <x:c r="E160" s="58" t="str"/>
      <x:c r="F160" s="58" t="str"/>
      <x:c r="G160" s="70"/>
      <x:c r="H160" s="70"/>
      <x:c r="I160" s="70"/>
      <x:c r="J160" s="70"/>
      <x:c r="K160" s="66" t="str">
        <x:f>IF(C160="","",MAX(0,G160-H160-I160-J160))</x:f>
      </x:c>
      <x:c r="L160" s="70"/>
      <x:c r="M160" s="70"/>
      <x:c r="N160" s="70" t="str"/>
      <x:c r="O160" s="66" t="str">
        <x:f>IF(C160="","",K160+M160)</x:f>
      </x:c>
      <x:c r="P160" s="58" t="str"/>
    </x:row>
    <x:row r="161">
      <x:c r="A161" s="58" t="str"/>
      <x:c r="B161" s="58" t="str"/>
      <x:c r="C161" s="58" t="str"/>
      <x:c r="D161" s="58" t="str"/>
      <x:c r="E161" s="58" t="str"/>
      <x:c r="F161" s="58" t="str"/>
      <x:c r="G161" s="70"/>
      <x:c r="H161" s="70"/>
      <x:c r="I161" s="70"/>
      <x:c r="J161" s="70"/>
      <x:c r="K161" s="66" t="str">
        <x:f>IF(C161="","",MAX(0,G161-H161-I161-J161))</x:f>
      </x:c>
      <x:c r="L161" s="70"/>
      <x:c r="M161" s="70"/>
      <x:c r="N161" s="70" t="str"/>
      <x:c r="O161" s="66" t="str">
        <x:f>IF(C161="","",K161+M161)</x:f>
      </x:c>
      <x:c r="P161" s="58" t="str"/>
    </x:row>
    <x:row r="162">
      <x:c r="A162" s="58" t="str"/>
      <x:c r="B162" s="58" t="str"/>
      <x:c r="C162" s="58" t="str"/>
      <x:c r="D162" s="58" t="str"/>
      <x:c r="E162" s="58" t="str"/>
      <x:c r="F162" s="58" t="str"/>
      <x:c r="G162" s="70"/>
      <x:c r="H162" s="70"/>
      <x:c r="I162" s="70"/>
      <x:c r="J162" s="70"/>
      <x:c r="K162" s="66" t="str">
        <x:f>IF(C162="","",MAX(0,G162-H162-I162-J162))</x:f>
      </x:c>
      <x:c r="L162" s="70"/>
      <x:c r="M162" s="70"/>
      <x:c r="N162" s="70" t="str"/>
      <x:c r="O162" s="66" t="str">
        <x:f>IF(C162="","",K162+M162)</x:f>
      </x:c>
      <x:c r="P162" s="58" t="str"/>
    </x:row>
    <x:row r="163">
      <x:c r="A163" s="58" t="str"/>
      <x:c r="B163" s="58" t="str"/>
      <x:c r="C163" s="58" t="str"/>
      <x:c r="D163" s="58" t="str"/>
      <x:c r="E163" s="58" t="str"/>
      <x:c r="F163" s="58" t="str"/>
      <x:c r="G163" s="70"/>
      <x:c r="H163" s="70"/>
      <x:c r="I163" s="70"/>
      <x:c r="J163" s="70"/>
      <x:c r="K163" s="66" t="str">
        <x:f>IF(C163="","",MAX(0,G163-H163-I163-J163))</x:f>
      </x:c>
      <x:c r="L163" s="70"/>
      <x:c r="M163" s="70"/>
      <x:c r="N163" s="70" t="str"/>
      <x:c r="O163" s="66" t="str">
        <x:f>IF(C163="","",K163+M163)</x:f>
      </x:c>
      <x:c r="P163" s="58" t="str"/>
    </x:row>
    <x:row r="164">
      <x:c r="A164" s="58" t="str"/>
      <x:c r="B164" s="58" t="str"/>
      <x:c r="C164" s="58" t="str"/>
      <x:c r="D164" s="58" t="str"/>
      <x:c r="E164" s="58" t="str"/>
      <x:c r="F164" s="58" t="str"/>
      <x:c r="G164" s="70"/>
      <x:c r="H164" s="70"/>
      <x:c r="I164" s="70"/>
      <x:c r="J164" s="70"/>
      <x:c r="K164" s="66" t="str">
        <x:f>IF(C164="","",MAX(0,G164-H164-I164-J164))</x:f>
      </x:c>
      <x:c r="L164" s="70"/>
      <x:c r="M164" s="70"/>
      <x:c r="N164" s="70" t="str"/>
      <x:c r="O164" s="66" t="str">
        <x:f>IF(C164="","",K164+M164)</x:f>
      </x:c>
      <x:c r="P164" s="58" t="str"/>
    </x:row>
    <x:row r="165">
      <x:c r="A165" s="58" t="str"/>
      <x:c r="B165" s="58" t="str"/>
      <x:c r="C165" s="58" t="str"/>
      <x:c r="D165" s="58" t="str"/>
      <x:c r="E165" s="58" t="str"/>
      <x:c r="F165" s="58" t="str"/>
      <x:c r="G165" s="70"/>
      <x:c r="H165" s="70"/>
      <x:c r="I165" s="70"/>
      <x:c r="J165" s="70"/>
      <x:c r="K165" s="66" t="str">
        <x:f>IF(C165="","",MAX(0,G165-H165-I165-J165))</x:f>
      </x:c>
      <x:c r="L165" s="70"/>
      <x:c r="M165" s="70"/>
      <x:c r="N165" s="70" t="str"/>
      <x:c r="O165" s="66" t="str">
        <x:f>IF(C165="","",K165+M165)</x:f>
      </x:c>
      <x:c r="P165" s="58" t="str"/>
    </x:row>
    <x:row r="166">
      <x:c r="A166" s="58" t="str"/>
      <x:c r="B166" s="58" t="str"/>
      <x:c r="C166" s="58" t="str"/>
      <x:c r="D166" s="58" t="str"/>
      <x:c r="E166" s="58" t="str"/>
      <x:c r="F166" s="58" t="str"/>
      <x:c r="G166" s="70"/>
      <x:c r="H166" s="70"/>
      <x:c r="I166" s="70"/>
      <x:c r="J166" s="70"/>
      <x:c r="K166" s="66" t="str">
        <x:f>IF(C166="","",MAX(0,G166-H166-I166-J166))</x:f>
      </x:c>
      <x:c r="L166" s="70"/>
      <x:c r="M166" s="70"/>
      <x:c r="N166" s="70" t="str"/>
      <x:c r="O166" s="66" t="str">
        <x:f>IF(C166="","",K166+M166)</x:f>
      </x:c>
      <x:c r="P166" s="58" t="str"/>
    </x:row>
    <x:row r="167">
      <x:c r="A167" s="58" t="str"/>
      <x:c r="B167" s="58" t="str"/>
      <x:c r="C167" s="58" t="str"/>
      <x:c r="D167" s="58" t="str"/>
      <x:c r="E167" s="58" t="str"/>
      <x:c r="F167" s="58" t="str"/>
      <x:c r="G167" s="70"/>
      <x:c r="H167" s="70"/>
      <x:c r="I167" s="70"/>
      <x:c r="J167" s="70"/>
      <x:c r="K167" s="66" t="str">
        <x:f>IF(C167="","",MAX(0,G167-H167-I167-J167))</x:f>
      </x:c>
      <x:c r="L167" s="70"/>
      <x:c r="M167" s="70"/>
      <x:c r="N167" s="70" t="str"/>
      <x:c r="O167" s="66" t="str">
        <x:f>IF(C167="","",K167+M167)</x:f>
      </x:c>
      <x:c r="P167" s="58" t="str"/>
    </x:row>
    <x:row r="168">
      <x:c r="A168" s="58" t="str"/>
      <x:c r="B168" s="58" t="str"/>
      <x:c r="C168" s="58" t="str"/>
      <x:c r="D168" s="58" t="str"/>
      <x:c r="E168" s="58" t="str"/>
      <x:c r="F168" s="58" t="str"/>
      <x:c r="G168" s="70"/>
      <x:c r="H168" s="70"/>
      <x:c r="I168" s="70"/>
      <x:c r="J168" s="70"/>
      <x:c r="K168" s="66" t="str">
        <x:f>IF(C168="","",MAX(0,G168-H168-I168-J168))</x:f>
      </x:c>
      <x:c r="L168" s="70"/>
      <x:c r="M168" s="70"/>
      <x:c r="N168" s="70" t="str"/>
      <x:c r="O168" s="66" t="str">
        <x:f>IF(C168="","",K168+M168)</x:f>
      </x:c>
      <x:c r="P168" s="58" t="str"/>
    </x:row>
    <x:row r="169">
      <x:c r="A169" s="58" t="str"/>
      <x:c r="B169" s="58" t="str"/>
      <x:c r="C169" s="58" t="str"/>
      <x:c r="D169" s="58" t="str"/>
      <x:c r="E169" s="58" t="str"/>
      <x:c r="F169" s="58" t="str"/>
      <x:c r="G169" s="70"/>
      <x:c r="H169" s="70"/>
      <x:c r="I169" s="70"/>
      <x:c r="J169" s="70"/>
      <x:c r="K169" s="66" t="str">
        <x:f>IF(C169="","",MAX(0,G169-H169-I169-J169))</x:f>
      </x:c>
      <x:c r="L169" s="70"/>
      <x:c r="M169" s="70"/>
      <x:c r="N169" s="70" t="str"/>
      <x:c r="O169" s="66" t="str">
        <x:f>IF(C169="","",K169+M169)</x:f>
      </x:c>
      <x:c r="P169" s="58" t="str"/>
    </x:row>
    <x:row r="170">
      <x:c r="A170" s="58" t="str"/>
      <x:c r="B170" s="58" t="str"/>
      <x:c r="C170" s="58" t="str"/>
      <x:c r="D170" s="58" t="str"/>
      <x:c r="E170" s="58" t="str"/>
      <x:c r="F170" s="58" t="str"/>
      <x:c r="G170" s="70"/>
      <x:c r="H170" s="70"/>
      <x:c r="I170" s="70"/>
      <x:c r="J170" s="70"/>
      <x:c r="K170" s="66" t="str">
        <x:f>IF(C170="","",MAX(0,G170-H170-I170-J170))</x:f>
      </x:c>
      <x:c r="L170" s="70"/>
      <x:c r="M170" s="70"/>
      <x:c r="N170" s="70" t="str"/>
      <x:c r="O170" s="66" t="str">
        <x:f>IF(C170="","",K170+M170)</x:f>
      </x:c>
      <x:c r="P170" s="58" t="str"/>
    </x:row>
    <x:row r="171">
      <x:c r="A171" s="58" t="str"/>
      <x:c r="B171" s="58" t="str"/>
      <x:c r="C171" s="58" t="str"/>
      <x:c r="D171" s="58" t="str"/>
      <x:c r="E171" s="58" t="str"/>
      <x:c r="F171" s="58" t="str"/>
      <x:c r="G171" s="70"/>
      <x:c r="H171" s="70"/>
      <x:c r="I171" s="70"/>
      <x:c r="J171" s="70"/>
      <x:c r="K171" s="66" t="str">
        <x:f>IF(C171="","",MAX(0,G171-H171-I171-J171))</x:f>
      </x:c>
      <x:c r="L171" s="70"/>
      <x:c r="M171" s="70"/>
      <x:c r="N171" s="70" t="str"/>
      <x:c r="O171" s="66" t="str">
        <x:f>IF(C171="","",K171+M171)</x:f>
      </x:c>
      <x:c r="P171" s="58" t="str"/>
    </x:row>
    <x:row r="172">
      <x:c r="A172" s="58" t="str"/>
      <x:c r="B172" s="58" t="str"/>
      <x:c r="C172" s="58" t="str"/>
      <x:c r="D172" s="58" t="str"/>
      <x:c r="E172" s="58" t="str"/>
      <x:c r="F172" s="58" t="str"/>
      <x:c r="G172" s="70"/>
      <x:c r="H172" s="70"/>
      <x:c r="I172" s="70"/>
      <x:c r="J172" s="70"/>
      <x:c r="K172" s="66" t="str">
        <x:f>IF(C172="","",MAX(0,G172-H172-I172-J172))</x:f>
      </x:c>
      <x:c r="L172" s="70"/>
      <x:c r="M172" s="70"/>
      <x:c r="N172" s="70" t="str"/>
      <x:c r="O172" s="66" t="str">
        <x:f>IF(C172="","",K172+M172)</x:f>
      </x:c>
      <x:c r="P172" s="58" t="str"/>
    </x:row>
    <x:row r="173">
      <x:c r="A173" s="58" t="str"/>
      <x:c r="B173" s="58" t="str"/>
      <x:c r="C173" s="58" t="str"/>
      <x:c r="D173" s="58" t="str"/>
      <x:c r="E173" s="58" t="str"/>
      <x:c r="F173" s="58" t="str"/>
      <x:c r="G173" s="70"/>
      <x:c r="H173" s="70"/>
      <x:c r="I173" s="70"/>
      <x:c r="J173" s="70"/>
      <x:c r="K173" s="66" t="str">
        <x:f>IF(C173="","",MAX(0,G173-H173-I173-J173))</x:f>
      </x:c>
      <x:c r="L173" s="70"/>
      <x:c r="M173" s="70"/>
      <x:c r="N173" s="70" t="str"/>
      <x:c r="O173" s="66" t="str">
        <x:f>IF(C173="","",K173+M173)</x:f>
      </x:c>
      <x:c r="P173" s="58" t="str"/>
    </x:row>
    <x:row r="174">
      <x:c r="A174" s="58" t="str"/>
      <x:c r="B174" s="58" t="str"/>
      <x:c r="C174" s="58" t="str"/>
      <x:c r="D174" s="58" t="str"/>
      <x:c r="E174" s="58" t="str"/>
      <x:c r="F174" s="58" t="str"/>
      <x:c r="G174" s="70"/>
      <x:c r="H174" s="70"/>
      <x:c r="I174" s="70"/>
      <x:c r="J174" s="70"/>
      <x:c r="K174" s="66" t="str">
        <x:f>IF(C174="","",MAX(0,G174-H174-I174-J174))</x:f>
      </x:c>
      <x:c r="L174" s="70"/>
      <x:c r="M174" s="70"/>
      <x:c r="N174" s="70" t="str"/>
      <x:c r="O174" s="66" t="str">
        <x:f>IF(C174="","",K174+M174)</x:f>
      </x:c>
      <x:c r="P174" s="58" t="str"/>
    </x:row>
    <x:row r="175">
      <x:c r="A175" s="58" t="str"/>
      <x:c r="B175" s="58" t="str"/>
      <x:c r="C175" s="58" t="str"/>
      <x:c r="D175" s="58" t="str"/>
      <x:c r="E175" s="58" t="str"/>
      <x:c r="F175" s="58" t="str"/>
      <x:c r="G175" s="70"/>
      <x:c r="H175" s="70"/>
      <x:c r="I175" s="70"/>
      <x:c r="J175" s="70"/>
      <x:c r="K175" s="66" t="str">
        <x:f>IF(C175="","",MAX(0,G175-H175-I175-J175))</x:f>
      </x:c>
      <x:c r="L175" s="70"/>
      <x:c r="M175" s="70"/>
      <x:c r="N175" s="70" t="str"/>
      <x:c r="O175" s="66" t="str">
        <x:f>IF(C175="","",K175+M175)</x:f>
      </x:c>
      <x:c r="P175" s="58" t="str"/>
    </x:row>
    <x:row r="176">
      <x:c r="A176" s="58" t="str"/>
      <x:c r="B176" s="58" t="str"/>
      <x:c r="C176" s="58" t="str"/>
      <x:c r="D176" s="58" t="str"/>
      <x:c r="E176" s="58" t="str"/>
      <x:c r="F176" s="58" t="str"/>
      <x:c r="G176" s="70"/>
      <x:c r="H176" s="70"/>
      <x:c r="I176" s="70"/>
      <x:c r="J176" s="70"/>
      <x:c r="K176" s="66" t="str">
        <x:f>IF(C176="","",MAX(0,G176-H176-I176-J176))</x:f>
      </x:c>
      <x:c r="L176" s="70"/>
      <x:c r="M176" s="70"/>
      <x:c r="N176" s="70" t="str"/>
      <x:c r="O176" s="66" t="str">
        <x:f>IF(C176="","",K176+M176)</x:f>
      </x:c>
      <x:c r="P176" s="58" t="str"/>
    </x:row>
    <x:row r="177">
      <x:c r="A177" s="58" t="str"/>
      <x:c r="B177" s="58" t="str"/>
      <x:c r="C177" s="58" t="str"/>
      <x:c r="D177" s="58" t="str"/>
      <x:c r="E177" s="58" t="str"/>
      <x:c r="F177" s="58" t="str"/>
      <x:c r="G177" s="70"/>
      <x:c r="H177" s="70"/>
      <x:c r="I177" s="70"/>
      <x:c r="J177" s="70"/>
      <x:c r="K177" s="66" t="str">
        <x:f>IF(C177="","",MAX(0,G177-H177-I177-J177))</x:f>
      </x:c>
      <x:c r="L177" s="70"/>
      <x:c r="M177" s="70"/>
      <x:c r="N177" s="70" t="str"/>
      <x:c r="O177" s="66" t="str">
        <x:f>IF(C177="","",K177+M177)</x:f>
      </x:c>
      <x:c r="P177" s="58" t="str"/>
    </x:row>
    <x:row r="178">
      <x:c r="A178" s="58" t="str"/>
      <x:c r="B178" s="58" t="str"/>
      <x:c r="C178" s="58" t="str"/>
      <x:c r="D178" s="58" t="str"/>
      <x:c r="E178" s="58" t="str"/>
      <x:c r="F178" s="58" t="str"/>
      <x:c r="G178" s="70"/>
      <x:c r="H178" s="70"/>
      <x:c r="I178" s="70"/>
      <x:c r="J178" s="70"/>
      <x:c r="K178" s="66" t="str">
        <x:f>IF(C178="","",MAX(0,G178-H178-I178-J178))</x:f>
      </x:c>
      <x:c r="L178" s="70"/>
      <x:c r="M178" s="70"/>
      <x:c r="N178" s="70" t="str"/>
      <x:c r="O178" s="66" t="str">
        <x:f>IF(C178="","",K178+M178)</x:f>
      </x:c>
      <x:c r="P178" s="58" t="str"/>
    </x:row>
    <x:row r="179">
      <x:c r="A179" s="58" t="str"/>
      <x:c r="B179" s="58" t="str"/>
      <x:c r="C179" s="58" t="str"/>
      <x:c r="D179" s="58" t="str"/>
      <x:c r="E179" s="58" t="str"/>
      <x:c r="F179" s="58" t="str"/>
      <x:c r="G179" s="70"/>
      <x:c r="H179" s="70"/>
      <x:c r="I179" s="70"/>
      <x:c r="J179" s="70"/>
      <x:c r="K179" s="66" t="str">
        <x:f>IF(C179="","",MAX(0,G179-H179-I179-J179))</x:f>
      </x:c>
      <x:c r="L179" s="70"/>
      <x:c r="M179" s="70"/>
      <x:c r="N179" s="70" t="str"/>
      <x:c r="O179" s="66" t="str">
        <x:f>IF(C179="","",K179+M179)</x:f>
      </x:c>
      <x:c r="P179" s="58" t="str"/>
    </x:row>
    <x:row r="180">
      <x:c r="A180" s="58" t="str"/>
      <x:c r="B180" s="58" t="str"/>
      <x:c r="C180" s="58" t="str"/>
      <x:c r="D180" s="58" t="str"/>
      <x:c r="E180" s="58" t="str"/>
      <x:c r="F180" s="58" t="str"/>
      <x:c r="G180" s="70"/>
      <x:c r="H180" s="70"/>
      <x:c r="I180" s="70"/>
      <x:c r="J180" s="70"/>
      <x:c r="K180" s="66" t="str">
        <x:f>IF(C180="","",MAX(0,G180-H180-I180-J180))</x:f>
      </x:c>
      <x:c r="L180" s="70"/>
      <x:c r="M180" s="70"/>
      <x:c r="N180" s="70" t="str"/>
      <x:c r="O180" s="66" t="str">
        <x:f>IF(C180="","",K180+M180)</x:f>
      </x:c>
      <x:c r="P180" s="58" t="str"/>
    </x:row>
    <x:row r="181">
      <x:c r="A181" s="58" t="str"/>
      <x:c r="B181" s="58" t="str"/>
      <x:c r="C181" s="58" t="str"/>
      <x:c r="D181" s="58" t="str"/>
      <x:c r="E181" s="58" t="str"/>
      <x:c r="F181" s="58" t="str"/>
      <x:c r="G181" s="70"/>
      <x:c r="H181" s="70"/>
      <x:c r="I181" s="70"/>
      <x:c r="J181" s="70"/>
      <x:c r="K181" s="66" t="str">
        <x:f>IF(C181="","",MAX(0,G181-H181-I181-J181))</x:f>
      </x:c>
      <x:c r="L181" s="70"/>
      <x:c r="M181" s="70"/>
      <x:c r="N181" s="70" t="str"/>
      <x:c r="O181" s="66" t="str">
        <x:f>IF(C181="","",K181+M181)</x:f>
      </x:c>
      <x:c r="P181" s="58" t="str"/>
    </x:row>
    <x:row r="182">
      <x:c r="A182" s="58" t="str"/>
      <x:c r="B182" s="58" t="str"/>
      <x:c r="C182" s="58" t="str"/>
      <x:c r="D182" s="58" t="str"/>
      <x:c r="E182" s="58" t="str"/>
      <x:c r="F182" s="58" t="str"/>
      <x:c r="G182" s="70"/>
      <x:c r="H182" s="70"/>
      <x:c r="I182" s="70"/>
      <x:c r="J182" s="70"/>
      <x:c r="K182" s="66" t="str">
        <x:f>IF(C182="","",MAX(0,G182-H182-I182-J182))</x:f>
      </x:c>
      <x:c r="L182" s="70"/>
      <x:c r="M182" s="70"/>
      <x:c r="N182" s="70" t="str"/>
      <x:c r="O182" s="66" t="str">
        <x:f>IF(C182="","",K182+M182)</x:f>
      </x:c>
      <x:c r="P182" s="58" t="str"/>
    </x:row>
    <x:row r="183">
      <x:c r="A183" s="58" t="str"/>
      <x:c r="B183" s="58" t="str"/>
      <x:c r="C183" s="58" t="str"/>
      <x:c r="D183" s="58" t="str"/>
      <x:c r="E183" s="58" t="str"/>
      <x:c r="F183" s="58" t="str"/>
      <x:c r="G183" s="70"/>
      <x:c r="H183" s="70"/>
      <x:c r="I183" s="70"/>
      <x:c r="J183" s="70"/>
      <x:c r="K183" s="66" t="str">
        <x:f>IF(C183="","",MAX(0,G183-H183-I183-J183))</x:f>
      </x:c>
      <x:c r="L183" s="70"/>
      <x:c r="M183" s="70"/>
      <x:c r="N183" s="70" t="str"/>
      <x:c r="O183" s="66" t="str">
        <x:f>IF(C183="","",K183+M183)</x:f>
      </x:c>
      <x:c r="P183" s="58" t="str"/>
    </x:row>
    <x:row r="184">
      <x:c r="A184" s="58" t="str"/>
      <x:c r="B184" s="58" t="str"/>
      <x:c r="C184" s="58" t="str"/>
      <x:c r="D184" s="58" t="str"/>
      <x:c r="E184" s="58" t="str"/>
      <x:c r="F184" s="58" t="str"/>
      <x:c r="G184" s="70"/>
      <x:c r="H184" s="70"/>
      <x:c r="I184" s="70"/>
      <x:c r="J184" s="70"/>
      <x:c r="K184" s="66" t="str">
        <x:f>IF(C184="","",MAX(0,G184-H184-I184-J184))</x:f>
      </x:c>
      <x:c r="L184" s="70"/>
      <x:c r="M184" s="70"/>
      <x:c r="N184" s="70" t="str"/>
      <x:c r="O184" s="66" t="str">
        <x:f>IF(C184="","",K184+M184)</x:f>
      </x:c>
      <x:c r="P184" s="58" t="str"/>
    </x:row>
    <x:row r="185">
      <x:c r="A185" s="58" t="str"/>
      <x:c r="B185" s="58" t="str"/>
      <x:c r="C185" s="58" t="str"/>
      <x:c r="D185" s="58" t="str"/>
      <x:c r="E185" s="58" t="str"/>
      <x:c r="F185" s="58" t="str"/>
      <x:c r="G185" s="70"/>
      <x:c r="H185" s="70"/>
      <x:c r="I185" s="70"/>
      <x:c r="J185" s="70"/>
      <x:c r="K185" s="66" t="str">
        <x:f>IF(C185="","",MAX(0,G185-H185-I185-J185))</x:f>
      </x:c>
      <x:c r="L185" s="70"/>
      <x:c r="M185" s="70"/>
      <x:c r="N185" s="70" t="str"/>
      <x:c r="O185" s="66" t="str">
        <x:f>IF(C185="","",K185+M185)</x:f>
      </x:c>
      <x:c r="P185" s="58" t="str"/>
    </x:row>
    <x:row r="186">
      <x:c r="A186" s="58" t="str"/>
      <x:c r="B186" s="58" t="str"/>
      <x:c r="C186" s="58" t="str"/>
      <x:c r="D186" s="58" t="str"/>
      <x:c r="E186" s="58" t="str"/>
      <x:c r="F186" s="58" t="str"/>
      <x:c r="G186" s="70"/>
      <x:c r="H186" s="70"/>
      <x:c r="I186" s="70"/>
      <x:c r="J186" s="70"/>
      <x:c r="K186" s="66" t="str">
        <x:f>IF(C186="","",MAX(0,G186-H186-I186-J186))</x:f>
      </x:c>
      <x:c r="L186" s="70"/>
      <x:c r="M186" s="70"/>
      <x:c r="N186" s="70" t="str"/>
      <x:c r="O186" s="66" t="str">
        <x:f>IF(C186="","",K186+M186)</x:f>
      </x:c>
      <x:c r="P186" s="58" t="str"/>
    </x:row>
    <x:row r="187">
      <x:c r="A187" s="58" t="str"/>
      <x:c r="B187" s="58" t="str"/>
      <x:c r="C187" s="58" t="str"/>
      <x:c r="D187" s="58" t="str"/>
      <x:c r="E187" s="58" t="str"/>
      <x:c r="F187" s="58" t="str"/>
      <x:c r="G187" s="70"/>
      <x:c r="H187" s="70"/>
      <x:c r="I187" s="70"/>
      <x:c r="J187" s="70"/>
      <x:c r="K187" s="66" t="str">
        <x:f>IF(C187="","",MAX(0,G187-H187-I187-J187))</x:f>
      </x:c>
      <x:c r="L187" s="70"/>
      <x:c r="M187" s="70"/>
      <x:c r="N187" s="70" t="str"/>
      <x:c r="O187" s="66" t="str">
        <x:f>IF(C187="","",K187+M187)</x:f>
      </x:c>
      <x:c r="P187" s="58" t="str"/>
    </x:row>
    <x:row r="188">
      <x:c r="A188" s="58" t="str"/>
      <x:c r="B188" s="58" t="str"/>
      <x:c r="C188" s="58" t="str"/>
      <x:c r="D188" s="58" t="str"/>
      <x:c r="E188" s="58" t="str"/>
      <x:c r="F188" s="58" t="str"/>
      <x:c r="G188" s="70"/>
      <x:c r="H188" s="70"/>
      <x:c r="I188" s="70"/>
      <x:c r="J188" s="70"/>
      <x:c r="K188" s="66" t="str">
        <x:f>IF(C188="","",MAX(0,G188-H188-I188-J188))</x:f>
      </x:c>
      <x:c r="L188" s="70"/>
      <x:c r="M188" s="70"/>
      <x:c r="N188" s="70" t="str"/>
      <x:c r="O188" s="66" t="str">
        <x:f>IF(C188="","",K188+M188)</x:f>
      </x:c>
      <x:c r="P188" s="58" t="str"/>
    </x:row>
    <x:row r="189">
      <x:c r="A189" s="58" t="str"/>
      <x:c r="B189" s="58" t="str"/>
      <x:c r="C189" s="58" t="str"/>
      <x:c r="D189" s="58" t="str"/>
      <x:c r="E189" s="58" t="str"/>
      <x:c r="F189" s="58" t="str"/>
      <x:c r="G189" s="70"/>
      <x:c r="H189" s="70"/>
      <x:c r="I189" s="70"/>
      <x:c r="J189" s="70"/>
      <x:c r="K189" s="66" t="str">
        <x:f>IF(C189="","",MAX(0,G189-H189-I189-J189))</x:f>
      </x:c>
      <x:c r="L189" s="70"/>
      <x:c r="M189" s="70"/>
      <x:c r="N189" s="70" t="str"/>
      <x:c r="O189" s="66" t="str">
        <x:f>IF(C189="","",K189+M189)</x:f>
      </x:c>
      <x:c r="P189" s="58" t="str"/>
    </x:row>
    <x:row r="190">
      <x:c r="A190" s="58" t="str"/>
      <x:c r="B190" s="58" t="str"/>
      <x:c r="C190" s="58" t="str"/>
      <x:c r="D190" s="58" t="str"/>
      <x:c r="E190" s="58" t="str"/>
      <x:c r="F190" s="58" t="str"/>
      <x:c r="G190" s="70"/>
      <x:c r="H190" s="70"/>
      <x:c r="I190" s="70"/>
      <x:c r="J190" s="70"/>
      <x:c r="K190" s="66" t="str">
        <x:f>IF(C190="","",MAX(0,G190-H190-I190-J190))</x:f>
      </x:c>
      <x:c r="L190" s="70"/>
      <x:c r="M190" s="70"/>
      <x:c r="N190" s="70" t="str"/>
      <x:c r="O190" s="66" t="str">
        <x:f>IF(C190="","",K190+M190)</x:f>
      </x:c>
      <x:c r="P190" s="58" t="str"/>
    </x:row>
    <x:row r="191">
      <x:c r="A191" s="58" t="str"/>
      <x:c r="B191" s="58" t="str"/>
      <x:c r="C191" s="58" t="str"/>
      <x:c r="D191" s="58" t="str"/>
      <x:c r="E191" s="58" t="str"/>
      <x:c r="F191" s="58" t="str"/>
      <x:c r="G191" s="70"/>
      <x:c r="H191" s="70"/>
      <x:c r="I191" s="70"/>
      <x:c r="J191" s="70"/>
      <x:c r="K191" s="66" t="str">
        <x:f>IF(C191="","",MAX(0,G191-H191-I191-J191))</x:f>
      </x:c>
      <x:c r="L191" s="70"/>
      <x:c r="M191" s="70"/>
      <x:c r="N191" s="70" t="str"/>
      <x:c r="O191" s="66" t="str">
        <x:f>IF(C191="","",K191+M191)</x:f>
      </x:c>
      <x:c r="P191" s="58" t="str"/>
    </x:row>
    <x:row r="192">
      <x:c r="A192" s="58" t="str"/>
      <x:c r="B192" s="58" t="str"/>
      <x:c r="C192" s="58" t="str"/>
      <x:c r="D192" s="58" t="str"/>
      <x:c r="E192" s="58" t="str"/>
      <x:c r="F192" s="58" t="str"/>
      <x:c r="G192" s="70"/>
      <x:c r="H192" s="70"/>
      <x:c r="I192" s="70"/>
      <x:c r="J192" s="70"/>
      <x:c r="K192" s="66" t="str">
        <x:f>IF(C192="","",MAX(0,G192-H192-I192-J192))</x:f>
      </x:c>
      <x:c r="L192" s="70"/>
      <x:c r="M192" s="70"/>
      <x:c r="N192" s="70" t="str"/>
      <x:c r="O192" s="66" t="str">
        <x:f>IF(C192="","",K192+M192)</x:f>
      </x:c>
      <x:c r="P192" s="58" t="str"/>
    </x:row>
    <x:row r="193">
      <x:c r="A193" s="58" t="str"/>
      <x:c r="B193" s="58" t="str"/>
      <x:c r="C193" s="58" t="str"/>
      <x:c r="D193" s="58" t="str"/>
      <x:c r="E193" s="58" t="str"/>
      <x:c r="F193" s="58" t="str"/>
      <x:c r="G193" s="70"/>
      <x:c r="H193" s="70"/>
      <x:c r="I193" s="70"/>
      <x:c r="J193" s="70"/>
      <x:c r="K193" s="66" t="str">
        <x:f>IF(C193="","",MAX(0,G193-H193-I193-J193))</x:f>
      </x:c>
      <x:c r="L193" s="70"/>
      <x:c r="M193" s="70"/>
      <x:c r="N193" s="70" t="str"/>
      <x:c r="O193" s="66" t="str">
        <x:f>IF(C193="","",K193+M193)</x:f>
      </x:c>
      <x:c r="P193" s="58" t="str"/>
    </x:row>
    <x:row r="194">
      <x:c r="A194" s="58" t="str"/>
      <x:c r="B194" s="58" t="str"/>
      <x:c r="C194" s="58" t="str"/>
      <x:c r="D194" s="58" t="str"/>
      <x:c r="E194" s="58" t="str"/>
      <x:c r="F194" s="58" t="str"/>
      <x:c r="G194" s="70"/>
      <x:c r="H194" s="70"/>
      <x:c r="I194" s="70"/>
      <x:c r="J194" s="70"/>
      <x:c r="K194" s="66" t="str">
        <x:f>IF(C194="","",MAX(0,G194-H194-I194-J194))</x:f>
      </x:c>
      <x:c r="L194" s="70"/>
      <x:c r="M194" s="70"/>
      <x:c r="N194" s="70" t="str"/>
      <x:c r="O194" s="66" t="str">
        <x:f>IF(C194="","",K194+M194)</x:f>
      </x:c>
      <x:c r="P194" s="58" t="str"/>
    </x:row>
    <x:row r="195">
      <x:c r="A195" s="58" t="str"/>
      <x:c r="B195" s="58" t="str"/>
      <x:c r="C195" s="58" t="str"/>
      <x:c r="D195" s="58" t="str"/>
      <x:c r="E195" s="58" t="str"/>
      <x:c r="F195" s="58" t="str"/>
      <x:c r="G195" s="70"/>
      <x:c r="H195" s="70"/>
      <x:c r="I195" s="70"/>
      <x:c r="J195" s="70"/>
      <x:c r="K195" s="66" t="str">
        <x:f>IF(C195="","",MAX(0,G195-H195-I195-J195))</x:f>
      </x:c>
      <x:c r="L195" s="70"/>
      <x:c r="M195" s="70"/>
      <x:c r="N195" s="70" t="str"/>
      <x:c r="O195" s="66" t="str">
        <x:f>IF(C195="","",K195+M195)</x:f>
      </x:c>
      <x:c r="P195" s="58" t="str"/>
    </x:row>
    <x:row r="196">
      <x:c r="A196" s="58" t="str"/>
      <x:c r="B196" s="58" t="str"/>
      <x:c r="C196" s="58" t="str"/>
      <x:c r="D196" s="58" t="str"/>
      <x:c r="E196" s="58" t="str"/>
      <x:c r="F196" s="58" t="str"/>
      <x:c r="G196" s="70"/>
      <x:c r="H196" s="70"/>
      <x:c r="I196" s="70"/>
      <x:c r="J196" s="70"/>
      <x:c r="K196" s="66" t="str">
        <x:f>IF(C196="","",MAX(0,G196-H196-I196-J196))</x:f>
      </x:c>
      <x:c r="L196" s="70"/>
      <x:c r="M196" s="70"/>
      <x:c r="N196" s="70" t="str"/>
      <x:c r="O196" s="66" t="str">
        <x:f>IF(C196="","",K196+M196)</x:f>
      </x:c>
      <x:c r="P196" s="58" t="str"/>
    </x:row>
    <x:row r="197">
      <x:c r="A197" s="58" t="str"/>
      <x:c r="B197" s="58" t="str"/>
      <x:c r="C197" s="58" t="str"/>
      <x:c r="D197" s="58" t="str"/>
      <x:c r="E197" s="58" t="str"/>
      <x:c r="F197" s="58" t="str"/>
      <x:c r="G197" s="70"/>
      <x:c r="H197" s="70"/>
      <x:c r="I197" s="70"/>
      <x:c r="J197" s="70"/>
      <x:c r="K197" s="66" t="str">
        <x:f>IF(C197="","",MAX(0,G197-H197-I197-J197))</x:f>
      </x:c>
      <x:c r="L197" s="70"/>
      <x:c r="M197" s="70"/>
      <x:c r="N197" s="70" t="str"/>
      <x:c r="O197" s="66" t="str">
        <x:f>IF(C197="","",K197+M197)</x:f>
      </x:c>
      <x:c r="P197" s="58" t="str"/>
    </x:row>
    <x:row r="198">
      <x:c r="A198" s="58" t="str"/>
      <x:c r="B198" s="58" t="str"/>
      <x:c r="C198" s="58" t="str"/>
      <x:c r="D198" s="58" t="str"/>
      <x:c r="E198" s="58" t="str"/>
      <x:c r="F198" s="58" t="str"/>
      <x:c r="G198" s="70"/>
      <x:c r="H198" s="70"/>
      <x:c r="I198" s="70"/>
      <x:c r="J198" s="70"/>
      <x:c r="K198" s="66" t="str">
        <x:f>IF(C198="","",MAX(0,G198-H198-I198-J198))</x:f>
      </x:c>
      <x:c r="L198" s="70"/>
      <x:c r="M198" s="70"/>
      <x:c r="N198" s="70" t="str"/>
      <x:c r="O198" s="66" t="str">
        <x:f>IF(C198="","",K198+M198)</x:f>
      </x:c>
      <x:c r="P198" s="58" t="str"/>
    </x:row>
    <x:row r="199">
      <x:c r="A199" s="58" t="str"/>
      <x:c r="B199" s="58" t="str"/>
      <x:c r="C199" s="58" t="str"/>
      <x:c r="D199" s="58" t="str"/>
      <x:c r="E199" s="58" t="str"/>
      <x:c r="F199" s="58" t="str"/>
      <x:c r="G199" s="70"/>
      <x:c r="H199" s="70"/>
      <x:c r="I199" s="70"/>
      <x:c r="J199" s="70"/>
      <x:c r="K199" s="66" t="str">
        <x:f>IF(C199="","",MAX(0,G199-H199-I199-J199))</x:f>
      </x:c>
      <x:c r="L199" s="70"/>
      <x:c r="M199" s="70"/>
      <x:c r="N199" s="70" t="str"/>
      <x:c r="O199" s="66" t="str">
        <x:f>IF(C199="","",K199+M199)</x:f>
      </x:c>
      <x:c r="P199" s="58" t="str"/>
    </x:row>
    <x:row r="200">
      <x:c r="A200" s="58" t="str"/>
      <x:c r="B200" s="58" t="str"/>
      <x:c r="C200" s="58" t="str"/>
      <x:c r="D200" s="58" t="str"/>
      <x:c r="E200" s="58" t="str"/>
      <x:c r="F200" s="58" t="str"/>
      <x:c r="G200" s="70"/>
      <x:c r="H200" s="70"/>
      <x:c r="I200" s="70"/>
      <x:c r="J200" s="70"/>
      <x:c r="K200" s="66" t="str">
        <x:f>IF(C200="","",MAX(0,G200-H200-I200-J200))</x:f>
      </x:c>
      <x:c r="L200" s="70"/>
      <x:c r="M200" s="70"/>
      <x:c r="N200" s="70" t="str"/>
      <x:c r="O200" s="66" t="str">
        <x:f>IF(C200="","",K200+M200)</x:f>
      </x:c>
      <x:c r="P200" s="58" t="str"/>
    </x:row>
    <x:row r="201">
      <x:c r="A201" s="58" t="str"/>
      <x:c r="B201" s="58" t="str"/>
      <x:c r="C201" s="58" t="str"/>
      <x:c r="D201" s="58" t="str"/>
      <x:c r="E201" s="58" t="str"/>
      <x:c r="F201" s="58" t="str"/>
      <x:c r="G201" s="70"/>
      <x:c r="H201" s="70"/>
      <x:c r="I201" s="70"/>
      <x:c r="J201" s="70"/>
      <x:c r="K201" s="66" t="str">
        <x:f>IF(C201="","",MAX(0,G201-H201-I201-J201))</x:f>
      </x:c>
      <x:c r="L201" s="70"/>
      <x:c r="M201" s="70"/>
      <x:c r="N201" s="70" t="str"/>
      <x:c r="O201" s="66" t="str">
        <x:f>IF(C201="","",K201+M201)</x:f>
      </x:c>
      <x:c r="P201" s="58" t="str"/>
    </x:row>
    <x:row r="202">
      <x:c r="A202" s="58" t="str"/>
      <x:c r="B202" s="58" t="str"/>
      <x:c r="C202" s="58" t="str"/>
      <x:c r="D202" s="58" t="str"/>
      <x:c r="E202" s="58" t="str"/>
      <x:c r="F202" s="58" t="str"/>
      <x:c r="G202" s="70"/>
      <x:c r="H202" s="70"/>
      <x:c r="I202" s="70"/>
      <x:c r="J202" s="70"/>
      <x:c r="K202" s="66" t="str">
        <x:f>IF(C202="","",MAX(0,G202-H202-I202-J202))</x:f>
      </x:c>
      <x:c r="L202" s="70"/>
      <x:c r="M202" s="70"/>
      <x:c r="N202" s="70" t="str"/>
      <x:c r="O202" s="66" t="str">
        <x:f>IF(C202="","",K202+M202)</x:f>
      </x:c>
      <x:c r="P202" s="58" t="str"/>
    </x:row>
    <x:row r="203">
      <x:c r="A203" s="58" t="str"/>
      <x:c r="B203" s="58" t="str"/>
      <x:c r="C203" s="58" t="str"/>
      <x:c r="D203" s="58" t="str"/>
      <x:c r="E203" s="58" t="str"/>
      <x:c r="F203" s="58" t="str"/>
      <x:c r="G203" s="70"/>
      <x:c r="H203" s="70"/>
      <x:c r="I203" s="70"/>
      <x:c r="J203" s="70"/>
      <x:c r="K203" s="66" t="str">
        <x:f>IF(C203="","",MAX(0,G203-H203-I203-J203))</x:f>
      </x:c>
      <x:c r="L203" s="70"/>
      <x:c r="M203" s="70"/>
      <x:c r="N203" s="70" t="str"/>
      <x:c r="O203" s="66" t="str">
        <x:f>IF(C203="","",K203+M203)</x:f>
      </x:c>
      <x:c r="P203" s="58" t="str"/>
    </x:row>
    <x:row r="204">
      <x:c r="A204" s="58" t="str"/>
      <x:c r="B204" s="58" t="str"/>
      <x:c r="C204" s="58" t="str"/>
      <x:c r="D204" s="58" t="str"/>
      <x:c r="E204" s="58" t="str"/>
      <x:c r="F204" s="58" t="str"/>
      <x:c r="G204" s="70"/>
      <x:c r="H204" s="70"/>
      <x:c r="I204" s="70"/>
      <x:c r="J204" s="70"/>
      <x:c r="K204" s="66" t="str">
        <x:f>IF(C204="","",MAX(0,G204-H204-I204-J204))</x:f>
      </x:c>
      <x:c r="L204" s="70"/>
      <x:c r="M204" s="70"/>
      <x:c r="N204" s="70" t="str"/>
      <x:c r="O204" s="66" t="str">
        <x:f>IF(C204="","",K204+M204)</x:f>
      </x:c>
      <x:c r="P204" s="58" t="str"/>
    </x:row>
  </x:sheetData>
  <x:mergeCells>
    <x:mergeCell ref="A1:J1"/>
    <x:mergeCell ref="A2:J2"/>
  </x:mergeCells>
  <x:dataValidations count="1">
    <x:dataValidation type="list" sqref="B5:B204">
      <x:formula1>"기기,PRT,옵션,소모품,부품"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cc90bcdeeb4b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6" hidden="0" customWidth="1"/>
    <x:col min="5" max="5" width="16" hidden="0" customWidth="1"/>
    <x:col min="6" max="6" width="12" hidden="0" customWidth="1"/>
    <x:col min="7" max="7" width="10" hidden="0" customWidth="1"/>
    <x:col min="8" max="8" width="10" hidden="0" customWidth="1"/>
    <x:col min="9" max="9" width="12" hidden="0" customWidth="1"/>
    <x:col min="10" max="10" width="14" hidden="0" customWidth="1"/>
    <x:col min="11" max="11" width="12" hidden="0" customWidth="1"/>
    <x:col min="12" max="12" width="12" hidden="0" customWidth="1"/>
    <x:col min="13" max="13" width="18" hidden="0" customWidth="1"/>
    <x:col min="14" max="14" width="16" hidden="0" customWidth="1"/>
  </x:cols>
  <x:sheetData>
    <x:row r="1" ht="28" customHeight="1">
      <x:c r="A1" s="52" t="str">
        <x:v>기준정보 관리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</x:row>
    <x:row r="2">
      <x:c r="A2" s="53" t="str">
        <x:v>실제 운영 전 기종·옵션·BOM·공급 조건을 등록합니다. 유효기간과 변경 이력을 남겨야 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</x:row>
    <x:row r="4">
      <x:c r="A4" s="55" t="str">
        <x:v>품목구분</x:v>
      </x:c>
      <x:c r="B4" s="55" t="str">
        <x:v>품목코드</x:v>
      </x:c>
      <x:c r="C4" s="55" t="str">
        <x:v>품목명</x:v>
      </x:c>
      <x:c r="D4" s="55" t="str">
        <x:v>제품군</x:v>
      </x:c>
      <x:c r="E4" s="55" t="str">
        <x:v>Supplier</x:v>
      </x:c>
      <x:c r="F4" s="55" t="str">
        <x:v>단가</x:v>
      </x:c>
      <x:c r="G4" s="55" t="str">
        <x:v>통화</x:v>
      </x:c>
      <x:c r="H4" s="55" t="str">
        <x:v>MOQ</x:v>
      </x:c>
      <x:c r="I4" s="55" t="str">
        <x:v>발주단위</x:v>
      </x:c>
      <x:c r="J4" s="55" t="str">
        <x:v>Lead Time(일)</x:v>
      </x:c>
      <x:c r="K4" s="55" t="str">
        <x:v>Flex 하한%</x:v>
      </x:c>
      <x:c r="L4" s="55" t="str">
        <x:v>Flex 상한%</x:v>
      </x:c>
      <x:c r="M4" s="55" t="str">
        <x:v>단종/대체</x:v>
      </x:c>
      <x:c r="N4" s="55" t="str">
        <x:v>유효기간</x:v>
      </x:c>
    </x:row>
    <x:row r="5">
      <x:c r="A5" s="58" t="str"/>
      <x:c r="B5" s="58" t="str"/>
      <x:c r="C5" s="58" t="str"/>
      <x:c r="D5" s="58" t="str"/>
      <x:c r="E5" s="58" t="str"/>
      <x:c r="F5" s="70"/>
      <x:c r="G5" s="58" t="str"/>
      <x:c r="H5" s="58"/>
      <x:c r="I5" s="58"/>
      <x:c r="J5" s="58"/>
      <x:c r="K5" s="71"/>
      <x:c r="L5" s="71"/>
      <x:c r="M5" s="58" t="str"/>
      <x:c r="N5" s="58" t="str"/>
    </x:row>
    <x:row r="6">
      <x:c r="A6" s="58" t="str"/>
      <x:c r="B6" s="58" t="str"/>
      <x:c r="C6" s="58" t="str"/>
      <x:c r="D6" s="58" t="str"/>
      <x:c r="E6" s="58" t="str"/>
      <x:c r="F6" s="70"/>
      <x:c r="G6" s="58" t="str"/>
      <x:c r="H6" s="58"/>
      <x:c r="I6" s="58"/>
      <x:c r="J6" s="58"/>
      <x:c r="K6" s="71"/>
      <x:c r="L6" s="71"/>
      <x:c r="M6" s="58" t="str"/>
      <x:c r="N6" s="58" t="str"/>
    </x:row>
    <x:row r="7">
      <x:c r="A7" s="58" t="str"/>
      <x:c r="B7" s="58" t="str"/>
      <x:c r="C7" s="58" t="str"/>
      <x:c r="D7" s="58" t="str"/>
      <x:c r="E7" s="58" t="str"/>
      <x:c r="F7" s="70"/>
      <x:c r="G7" s="58" t="str"/>
      <x:c r="H7" s="58"/>
      <x:c r="I7" s="58"/>
      <x:c r="J7" s="58"/>
      <x:c r="K7" s="71"/>
      <x:c r="L7" s="71"/>
      <x:c r="M7" s="58" t="str"/>
      <x:c r="N7" s="58" t="str"/>
    </x:row>
    <x:row r="8">
      <x:c r="A8" s="58" t="str"/>
      <x:c r="B8" s="58" t="str"/>
      <x:c r="C8" s="58" t="str"/>
      <x:c r="D8" s="58" t="str"/>
      <x:c r="E8" s="58" t="str"/>
      <x:c r="F8" s="70"/>
      <x:c r="G8" s="58" t="str"/>
      <x:c r="H8" s="58"/>
      <x:c r="I8" s="58"/>
      <x:c r="J8" s="58"/>
      <x:c r="K8" s="71"/>
      <x:c r="L8" s="71"/>
      <x:c r="M8" s="58" t="str"/>
      <x:c r="N8" s="58" t="str"/>
    </x:row>
    <x:row r="9">
      <x:c r="A9" s="58" t="str"/>
      <x:c r="B9" s="58" t="str"/>
      <x:c r="C9" s="58" t="str"/>
      <x:c r="D9" s="58" t="str"/>
      <x:c r="E9" s="58" t="str"/>
      <x:c r="F9" s="70"/>
      <x:c r="G9" s="58" t="str"/>
      <x:c r="H9" s="58"/>
      <x:c r="I9" s="58"/>
      <x:c r="J9" s="58"/>
      <x:c r="K9" s="71"/>
      <x:c r="L9" s="71"/>
      <x:c r="M9" s="58" t="str"/>
      <x:c r="N9" s="58" t="str"/>
    </x:row>
    <x:row r="10">
      <x:c r="A10" s="58" t="str"/>
      <x:c r="B10" s="58" t="str"/>
      <x:c r="C10" s="58" t="str"/>
      <x:c r="D10" s="58" t="str"/>
      <x:c r="E10" s="58" t="str"/>
      <x:c r="F10" s="70"/>
      <x:c r="G10" s="58" t="str"/>
      <x:c r="H10" s="58"/>
      <x:c r="I10" s="58"/>
      <x:c r="J10" s="58"/>
      <x:c r="K10" s="71"/>
      <x:c r="L10" s="71"/>
      <x:c r="M10" s="58" t="str"/>
      <x:c r="N10" s="58" t="str"/>
    </x:row>
    <x:row r="11">
      <x:c r="A11" s="58" t="str"/>
      <x:c r="B11" s="58" t="str"/>
      <x:c r="C11" s="58" t="str"/>
      <x:c r="D11" s="58" t="str"/>
      <x:c r="E11" s="58" t="str"/>
      <x:c r="F11" s="70"/>
      <x:c r="G11" s="58" t="str"/>
      <x:c r="H11" s="58"/>
      <x:c r="I11" s="58"/>
      <x:c r="J11" s="58"/>
      <x:c r="K11" s="71"/>
      <x:c r="L11" s="71"/>
      <x:c r="M11" s="58" t="str"/>
      <x:c r="N11" s="58" t="str"/>
    </x:row>
    <x:row r="12">
      <x:c r="A12" s="58" t="str"/>
      <x:c r="B12" s="58" t="str"/>
      <x:c r="C12" s="58" t="str"/>
      <x:c r="D12" s="58" t="str"/>
      <x:c r="E12" s="58" t="str"/>
      <x:c r="F12" s="70"/>
      <x:c r="G12" s="58" t="str"/>
      <x:c r="H12" s="58"/>
      <x:c r="I12" s="58"/>
      <x:c r="J12" s="58"/>
      <x:c r="K12" s="71"/>
      <x:c r="L12" s="71"/>
      <x:c r="M12" s="58" t="str"/>
      <x:c r="N12" s="58" t="str"/>
    </x:row>
    <x:row r="13">
      <x:c r="A13" s="58" t="str"/>
      <x:c r="B13" s="58" t="str"/>
      <x:c r="C13" s="58" t="str"/>
      <x:c r="D13" s="58" t="str"/>
      <x:c r="E13" s="58" t="str"/>
      <x:c r="F13" s="70"/>
      <x:c r="G13" s="58" t="str"/>
      <x:c r="H13" s="58"/>
      <x:c r="I13" s="58"/>
      <x:c r="J13" s="58"/>
      <x:c r="K13" s="71"/>
      <x:c r="L13" s="71"/>
      <x:c r="M13" s="58" t="str"/>
      <x:c r="N13" s="58" t="str"/>
    </x:row>
    <x:row r="14">
      <x:c r="A14" s="58" t="str"/>
      <x:c r="B14" s="58" t="str"/>
      <x:c r="C14" s="58" t="str"/>
      <x:c r="D14" s="58" t="str"/>
      <x:c r="E14" s="58" t="str"/>
      <x:c r="F14" s="70"/>
      <x:c r="G14" s="58" t="str"/>
      <x:c r="H14" s="58"/>
      <x:c r="I14" s="58"/>
      <x:c r="J14" s="58"/>
      <x:c r="K14" s="71"/>
      <x:c r="L14" s="71"/>
      <x:c r="M14" s="58" t="str"/>
      <x:c r="N14" s="58" t="str"/>
    </x:row>
    <x:row r="15">
      <x:c r="A15" s="58" t="str"/>
      <x:c r="B15" s="58" t="str"/>
      <x:c r="C15" s="58" t="str"/>
      <x:c r="D15" s="58" t="str"/>
      <x:c r="E15" s="58" t="str"/>
      <x:c r="F15" s="70"/>
      <x:c r="G15" s="58" t="str"/>
      <x:c r="H15" s="58"/>
      <x:c r="I15" s="58"/>
      <x:c r="J15" s="58"/>
      <x:c r="K15" s="71"/>
      <x:c r="L15" s="71"/>
      <x:c r="M15" s="58" t="str"/>
      <x:c r="N15" s="58" t="str"/>
    </x:row>
    <x:row r="16">
      <x:c r="A16" s="58" t="str"/>
      <x:c r="B16" s="58" t="str"/>
      <x:c r="C16" s="58" t="str"/>
      <x:c r="D16" s="58" t="str"/>
      <x:c r="E16" s="58" t="str"/>
      <x:c r="F16" s="70"/>
      <x:c r="G16" s="58" t="str"/>
      <x:c r="H16" s="58"/>
      <x:c r="I16" s="58"/>
      <x:c r="J16" s="58"/>
      <x:c r="K16" s="71"/>
      <x:c r="L16" s="71"/>
      <x:c r="M16" s="58" t="str"/>
      <x:c r="N16" s="58" t="str"/>
    </x:row>
    <x:row r="17">
      <x:c r="A17" s="58" t="str"/>
      <x:c r="B17" s="58" t="str"/>
      <x:c r="C17" s="58" t="str"/>
      <x:c r="D17" s="58" t="str"/>
      <x:c r="E17" s="58" t="str"/>
      <x:c r="F17" s="70"/>
      <x:c r="G17" s="58" t="str"/>
      <x:c r="H17" s="58"/>
      <x:c r="I17" s="58"/>
      <x:c r="J17" s="58"/>
      <x:c r="K17" s="71"/>
      <x:c r="L17" s="71"/>
      <x:c r="M17" s="58" t="str"/>
      <x:c r="N17" s="58" t="str"/>
    </x:row>
    <x:row r="18">
      <x:c r="A18" s="58" t="str"/>
      <x:c r="B18" s="58" t="str"/>
      <x:c r="C18" s="58" t="str"/>
      <x:c r="D18" s="58" t="str"/>
      <x:c r="E18" s="58" t="str"/>
      <x:c r="F18" s="70"/>
      <x:c r="G18" s="58" t="str"/>
      <x:c r="H18" s="58"/>
      <x:c r="I18" s="58"/>
      <x:c r="J18" s="58"/>
      <x:c r="K18" s="71"/>
      <x:c r="L18" s="71"/>
      <x:c r="M18" s="58" t="str"/>
      <x:c r="N18" s="58" t="str"/>
    </x:row>
    <x:row r="19">
      <x:c r="A19" s="58" t="str"/>
      <x:c r="B19" s="58" t="str"/>
      <x:c r="C19" s="58" t="str"/>
      <x:c r="D19" s="58" t="str"/>
      <x:c r="E19" s="58" t="str"/>
      <x:c r="F19" s="70"/>
      <x:c r="G19" s="58" t="str"/>
      <x:c r="H19" s="58"/>
      <x:c r="I19" s="58"/>
      <x:c r="J19" s="58"/>
      <x:c r="K19" s="71"/>
      <x:c r="L19" s="71"/>
      <x:c r="M19" s="58" t="str"/>
      <x:c r="N19" s="58" t="str"/>
    </x:row>
    <x:row r="20">
      <x:c r="A20" s="58" t="str"/>
      <x:c r="B20" s="58" t="str"/>
      <x:c r="C20" s="58" t="str"/>
      <x:c r="D20" s="58" t="str"/>
      <x:c r="E20" s="58" t="str"/>
      <x:c r="F20" s="70"/>
      <x:c r="G20" s="58" t="str"/>
      <x:c r="H20" s="58"/>
      <x:c r="I20" s="58"/>
      <x:c r="J20" s="58"/>
      <x:c r="K20" s="71"/>
      <x:c r="L20" s="71"/>
      <x:c r="M20" s="58" t="str"/>
      <x:c r="N20" s="58" t="str"/>
    </x:row>
    <x:row r="21">
      <x:c r="A21" s="58" t="str"/>
      <x:c r="B21" s="58" t="str"/>
      <x:c r="C21" s="58" t="str"/>
      <x:c r="D21" s="58" t="str"/>
      <x:c r="E21" s="58" t="str"/>
      <x:c r="F21" s="70"/>
      <x:c r="G21" s="58" t="str"/>
      <x:c r="H21" s="58"/>
      <x:c r="I21" s="58"/>
      <x:c r="J21" s="58"/>
      <x:c r="K21" s="71"/>
      <x:c r="L21" s="71"/>
      <x:c r="M21" s="58" t="str"/>
      <x:c r="N21" s="58" t="str"/>
    </x:row>
    <x:row r="22">
      <x:c r="A22" s="58" t="str"/>
      <x:c r="B22" s="58" t="str"/>
      <x:c r="C22" s="58" t="str"/>
      <x:c r="D22" s="58" t="str"/>
      <x:c r="E22" s="58" t="str"/>
      <x:c r="F22" s="70"/>
      <x:c r="G22" s="58" t="str"/>
      <x:c r="H22" s="58"/>
      <x:c r="I22" s="58"/>
      <x:c r="J22" s="58"/>
      <x:c r="K22" s="71"/>
      <x:c r="L22" s="71"/>
      <x:c r="M22" s="58" t="str"/>
      <x:c r="N22" s="58" t="str"/>
    </x:row>
    <x:row r="23">
      <x:c r="A23" s="58" t="str"/>
      <x:c r="B23" s="58" t="str"/>
      <x:c r="C23" s="58" t="str"/>
      <x:c r="D23" s="58" t="str"/>
      <x:c r="E23" s="58" t="str"/>
      <x:c r="F23" s="70"/>
      <x:c r="G23" s="58" t="str"/>
      <x:c r="H23" s="58"/>
      <x:c r="I23" s="58"/>
      <x:c r="J23" s="58"/>
      <x:c r="K23" s="71"/>
      <x:c r="L23" s="71"/>
      <x:c r="M23" s="58" t="str"/>
      <x:c r="N23" s="58" t="str"/>
    </x:row>
    <x:row r="24">
      <x:c r="A24" s="58" t="str"/>
      <x:c r="B24" s="58" t="str"/>
      <x:c r="C24" s="58" t="str"/>
      <x:c r="D24" s="58" t="str"/>
      <x:c r="E24" s="58" t="str"/>
      <x:c r="F24" s="70"/>
      <x:c r="G24" s="58" t="str"/>
      <x:c r="H24" s="58"/>
      <x:c r="I24" s="58"/>
      <x:c r="J24" s="58"/>
      <x:c r="K24" s="71"/>
      <x:c r="L24" s="71"/>
      <x:c r="M24" s="58" t="str"/>
      <x:c r="N24" s="58" t="str"/>
    </x:row>
    <x:row r="25">
      <x:c r="A25" s="58" t="str"/>
      <x:c r="B25" s="58" t="str"/>
      <x:c r="C25" s="58" t="str"/>
      <x:c r="D25" s="58" t="str"/>
      <x:c r="E25" s="58" t="str"/>
      <x:c r="F25" s="70"/>
      <x:c r="G25" s="58" t="str"/>
      <x:c r="H25" s="58"/>
      <x:c r="I25" s="58"/>
      <x:c r="J25" s="58"/>
      <x:c r="K25" s="71"/>
      <x:c r="L25" s="71"/>
      <x:c r="M25" s="58" t="str"/>
      <x:c r="N25" s="58" t="str"/>
    </x:row>
    <x:row r="26">
      <x:c r="A26" s="58" t="str"/>
      <x:c r="B26" s="58" t="str"/>
      <x:c r="C26" s="58" t="str"/>
      <x:c r="D26" s="58" t="str"/>
      <x:c r="E26" s="58" t="str"/>
      <x:c r="F26" s="70"/>
      <x:c r="G26" s="58" t="str"/>
      <x:c r="H26" s="58"/>
      <x:c r="I26" s="58"/>
      <x:c r="J26" s="58"/>
      <x:c r="K26" s="71"/>
      <x:c r="L26" s="71"/>
      <x:c r="M26" s="58" t="str"/>
      <x:c r="N26" s="58" t="str"/>
    </x:row>
    <x:row r="27">
      <x:c r="A27" s="58" t="str"/>
      <x:c r="B27" s="58" t="str"/>
      <x:c r="C27" s="58" t="str"/>
      <x:c r="D27" s="58" t="str"/>
      <x:c r="E27" s="58" t="str"/>
      <x:c r="F27" s="70"/>
      <x:c r="G27" s="58" t="str"/>
      <x:c r="H27" s="58"/>
      <x:c r="I27" s="58"/>
      <x:c r="J27" s="58"/>
      <x:c r="K27" s="71"/>
      <x:c r="L27" s="71"/>
      <x:c r="M27" s="58" t="str"/>
      <x:c r="N27" s="58" t="str"/>
    </x:row>
    <x:row r="28">
      <x:c r="A28" s="58" t="str"/>
      <x:c r="B28" s="58" t="str"/>
      <x:c r="C28" s="58" t="str"/>
      <x:c r="D28" s="58" t="str"/>
      <x:c r="E28" s="58" t="str"/>
      <x:c r="F28" s="70"/>
      <x:c r="G28" s="58" t="str"/>
      <x:c r="H28" s="58"/>
      <x:c r="I28" s="58"/>
      <x:c r="J28" s="58"/>
      <x:c r="K28" s="71"/>
      <x:c r="L28" s="71"/>
      <x:c r="M28" s="58" t="str"/>
      <x:c r="N28" s="58" t="str"/>
    </x:row>
    <x:row r="29">
      <x:c r="A29" s="58" t="str"/>
      <x:c r="B29" s="58" t="str"/>
      <x:c r="C29" s="58" t="str"/>
      <x:c r="D29" s="58" t="str"/>
      <x:c r="E29" s="58" t="str"/>
      <x:c r="F29" s="70"/>
      <x:c r="G29" s="58" t="str"/>
      <x:c r="H29" s="58"/>
      <x:c r="I29" s="58"/>
      <x:c r="J29" s="58"/>
      <x:c r="K29" s="71"/>
      <x:c r="L29" s="71"/>
      <x:c r="M29" s="58" t="str"/>
      <x:c r="N29" s="58" t="str"/>
    </x:row>
    <x:row r="30">
      <x:c r="A30" s="58" t="str"/>
      <x:c r="B30" s="58" t="str"/>
      <x:c r="C30" s="58" t="str"/>
      <x:c r="D30" s="58" t="str"/>
      <x:c r="E30" s="58" t="str"/>
      <x:c r="F30" s="70"/>
      <x:c r="G30" s="58" t="str"/>
      <x:c r="H30" s="58"/>
      <x:c r="I30" s="58"/>
      <x:c r="J30" s="58"/>
      <x:c r="K30" s="71"/>
      <x:c r="L30" s="71"/>
      <x:c r="M30" s="58" t="str"/>
      <x:c r="N30" s="58" t="str"/>
    </x:row>
    <x:row r="31">
      <x:c r="A31" s="58" t="str"/>
      <x:c r="B31" s="58" t="str"/>
      <x:c r="C31" s="58" t="str"/>
      <x:c r="D31" s="58" t="str"/>
      <x:c r="E31" s="58" t="str"/>
      <x:c r="F31" s="70"/>
      <x:c r="G31" s="58" t="str"/>
      <x:c r="H31" s="58"/>
      <x:c r="I31" s="58"/>
      <x:c r="J31" s="58"/>
      <x:c r="K31" s="71"/>
      <x:c r="L31" s="71"/>
      <x:c r="M31" s="58" t="str"/>
      <x:c r="N31" s="58" t="str"/>
    </x:row>
    <x:row r="32">
      <x:c r="A32" s="58" t="str"/>
      <x:c r="B32" s="58" t="str"/>
      <x:c r="C32" s="58" t="str"/>
      <x:c r="D32" s="58" t="str"/>
      <x:c r="E32" s="58" t="str"/>
      <x:c r="F32" s="70"/>
      <x:c r="G32" s="58" t="str"/>
      <x:c r="H32" s="58"/>
      <x:c r="I32" s="58"/>
      <x:c r="J32" s="58"/>
      <x:c r="K32" s="71"/>
      <x:c r="L32" s="71"/>
      <x:c r="M32" s="58" t="str"/>
      <x:c r="N32" s="58" t="str"/>
    </x:row>
    <x:row r="33">
      <x:c r="A33" s="58" t="str"/>
      <x:c r="B33" s="58" t="str"/>
      <x:c r="C33" s="58" t="str"/>
      <x:c r="D33" s="58" t="str"/>
      <x:c r="E33" s="58" t="str"/>
      <x:c r="F33" s="70"/>
      <x:c r="G33" s="58" t="str"/>
      <x:c r="H33" s="58"/>
      <x:c r="I33" s="58"/>
      <x:c r="J33" s="58"/>
      <x:c r="K33" s="71"/>
      <x:c r="L33" s="71"/>
      <x:c r="M33" s="58" t="str"/>
      <x:c r="N33" s="58" t="str"/>
    </x:row>
    <x:row r="34">
      <x:c r="A34" s="58" t="str"/>
      <x:c r="B34" s="58" t="str"/>
      <x:c r="C34" s="58" t="str"/>
      <x:c r="D34" s="58" t="str"/>
      <x:c r="E34" s="58" t="str"/>
      <x:c r="F34" s="70"/>
      <x:c r="G34" s="58" t="str"/>
      <x:c r="H34" s="58"/>
      <x:c r="I34" s="58"/>
      <x:c r="J34" s="58"/>
      <x:c r="K34" s="71"/>
      <x:c r="L34" s="71"/>
      <x:c r="M34" s="58" t="str"/>
      <x:c r="N34" s="58" t="str"/>
    </x:row>
    <x:row r="35">
      <x:c r="A35" s="58" t="str"/>
      <x:c r="B35" s="58" t="str"/>
      <x:c r="C35" s="58" t="str"/>
      <x:c r="D35" s="58" t="str"/>
      <x:c r="E35" s="58" t="str"/>
      <x:c r="F35" s="70"/>
      <x:c r="G35" s="58" t="str"/>
      <x:c r="H35" s="58"/>
      <x:c r="I35" s="58"/>
      <x:c r="J35" s="58"/>
      <x:c r="K35" s="71"/>
      <x:c r="L35" s="71"/>
      <x:c r="M35" s="58" t="str"/>
      <x:c r="N35" s="58" t="str"/>
    </x:row>
    <x:row r="36">
      <x:c r="A36" s="58" t="str"/>
      <x:c r="B36" s="58" t="str"/>
      <x:c r="C36" s="58" t="str"/>
      <x:c r="D36" s="58" t="str"/>
      <x:c r="E36" s="58" t="str"/>
      <x:c r="F36" s="70"/>
      <x:c r="G36" s="58" t="str"/>
      <x:c r="H36" s="58"/>
      <x:c r="I36" s="58"/>
      <x:c r="J36" s="58"/>
      <x:c r="K36" s="71"/>
      <x:c r="L36" s="71"/>
      <x:c r="M36" s="58" t="str"/>
      <x:c r="N36" s="58" t="str"/>
    </x:row>
    <x:row r="37">
      <x:c r="A37" s="58" t="str"/>
      <x:c r="B37" s="58" t="str"/>
      <x:c r="C37" s="58" t="str"/>
      <x:c r="D37" s="58" t="str"/>
      <x:c r="E37" s="58" t="str"/>
      <x:c r="F37" s="70"/>
      <x:c r="G37" s="58" t="str"/>
      <x:c r="H37" s="58"/>
      <x:c r="I37" s="58"/>
      <x:c r="J37" s="58"/>
      <x:c r="K37" s="71"/>
      <x:c r="L37" s="71"/>
      <x:c r="M37" s="58" t="str"/>
      <x:c r="N37" s="58" t="str"/>
    </x:row>
    <x:row r="38">
      <x:c r="A38" s="58" t="str"/>
      <x:c r="B38" s="58" t="str"/>
      <x:c r="C38" s="58" t="str"/>
      <x:c r="D38" s="58" t="str"/>
      <x:c r="E38" s="58" t="str"/>
      <x:c r="F38" s="70"/>
      <x:c r="G38" s="58" t="str"/>
      <x:c r="H38" s="58"/>
      <x:c r="I38" s="58"/>
      <x:c r="J38" s="58"/>
      <x:c r="K38" s="71"/>
      <x:c r="L38" s="71"/>
      <x:c r="M38" s="58" t="str"/>
      <x:c r="N38" s="58" t="str"/>
    </x:row>
    <x:row r="39">
      <x:c r="A39" s="58" t="str"/>
      <x:c r="B39" s="58" t="str"/>
      <x:c r="C39" s="58" t="str"/>
      <x:c r="D39" s="58" t="str"/>
      <x:c r="E39" s="58" t="str"/>
      <x:c r="F39" s="70"/>
      <x:c r="G39" s="58" t="str"/>
      <x:c r="H39" s="58"/>
      <x:c r="I39" s="58"/>
      <x:c r="J39" s="58"/>
      <x:c r="K39" s="71"/>
      <x:c r="L39" s="71"/>
      <x:c r="M39" s="58" t="str"/>
      <x:c r="N39" s="58" t="str"/>
    </x:row>
    <x:row r="40">
      <x:c r="A40" s="58" t="str"/>
      <x:c r="B40" s="58" t="str"/>
      <x:c r="C40" s="58" t="str"/>
      <x:c r="D40" s="58" t="str"/>
      <x:c r="E40" s="58" t="str"/>
      <x:c r="F40" s="70"/>
      <x:c r="G40" s="58" t="str"/>
      <x:c r="H40" s="58"/>
      <x:c r="I40" s="58"/>
      <x:c r="J40" s="58"/>
      <x:c r="K40" s="71"/>
      <x:c r="L40" s="71"/>
      <x:c r="M40" s="58" t="str"/>
      <x:c r="N40" s="58" t="str"/>
    </x:row>
    <x:row r="41">
      <x:c r="A41" s="58" t="str"/>
      <x:c r="B41" s="58" t="str"/>
      <x:c r="C41" s="58" t="str"/>
      <x:c r="D41" s="58" t="str"/>
      <x:c r="E41" s="58" t="str"/>
      <x:c r="F41" s="70"/>
      <x:c r="G41" s="58" t="str"/>
      <x:c r="H41" s="58"/>
      <x:c r="I41" s="58"/>
      <x:c r="J41" s="58"/>
      <x:c r="K41" s="71"/>
      <x:c r="L41" s="71"/>
      <x:c r="M41" s="58" t="str"/>
      <x:c r="N41" s="58" t="str"/>
    </x:row>
    <x:row r="42">
      <x:c r="A42" s="58" t="str"/>
      <x:c r="B42" s="58" t="str"/>
      <x:c r="C42" s="58" t="str"/>
      <x:c r="D42" s="58" t="str"/>
      <x:c r="E42" s="58" t="str"/>
      <x:c r="F42" s="70"/>
      <x:c r="G42" s="58" t="str"/>
      <x:c r="H42" s="58"/>
      <x:c r="I42" s="58"/>
      <x:c r="J42" s="58"/>
      <x:c r="K42" s="71"/>
      <x:c r="L42" s="71"/>
      <x:c r="M42" s="58" t="str"/>
      <x:c r="N42" s="58" t="str"/>
    </x:row>
    <x:row r="43">
      <x:c r="A43" s="58" t="str"/>
      <x:c r="B43" s="58" t="str"/>
      <x:c r="C43" s="58" t="str"/>
      <x:c r="D43" s="58" t="str"/>
      <x:c r="E43" s="58" t="str"/>
      <x:c r="F43" s="70"/>
      <x:c r="G43" s="58" t="str"/>
      <x:c r="H43" s="58"/>
      <x:c r="I43" s="58"/>
      <x:c r="J43" s="58"/>
      <x:c r="K43" s="71"/>
      <x:c r="L43" s="71"/>
      <x:c r="M43" s="58" t="str"/>
      <x:c r="N43" s="58" t="str"/>
    </x:row>
    <x:row r="44">
      <x:c r="A44" s="58" t="str"/>
      <x:c r="B44" s="58" t="str"/>
      <x:c r="C44" s="58" t="str"/>
      <x:c r="D44" s="58" t="str"/>
      <x:c r="E44" s="58" t="str"/>
      <x:c r="F44" s="70"/>
      <x:c r="G44" s="58" t="str"/>
      <x:c r="H44" s="58"/>
      <x:c r="I44" s="58"/>
      <x:c r="J44" s="58"/>
      <x:c r="K44" s="71"/>
      <x:c r="L44" s="71"/>
      <x:c r="M44" s="58" t="str"/>
      <x:c r="N44" s="58" t="str"/>
    </x:row>
    <x:row r="45">
      <x:c r="A45" s="58" t="str"/>
      <x:c r="B45" s="58" t="str"/>
      <x:c r="C45" s="58" t="str"/>
      <x:c r="D45" s="58" t="str"/>
      <x:c r="E45" s="58" t="str"/>
      <x:c r="F45" s="70"/>
      <x:c r="G45" s="58" t="str"/>
      <x:c r="H45" s="58"/>
      <x:c r="I45" s="58"/>
      <x:c r="J45" s="58"/>
      <x:c r="K45" s="71"/>
      <x:c r="L45" s="71"/>
      <x:c r="M45" s="58" t="str"/>
      <x:c r="N45" s="58" t="str"/>
    </x:row>
    <x:row r="46">
      <x:c r="A46" s="58" t="str"/>
      <x:c r="B46" s="58" t="str"/>
      <x:c r="C46" s="58" t="str"/>
      <x:c r="D46" s="58" t="str"/>
      <x:c r="E46" s="58" t="str"/>
      <x:c r="F46" s="70"/>
      <x:c r="G46" s="58" t="str"/>
      <x:c r="H46" s="58"/>
      <x:c r="I46" s="58"/>
      <x:c r="J46" s="58"/>
      <x:c r="K46" s="71"/>
      <x:c r="L46" s="71"/>
      <x:c r="M46" s="58" t="str"/>
      <x:c r="N46" s="58" t="str"/>
    </x:row>
    <x:row r="47">
      <x:c r="A47" s="58" t="str"/>
      <x:c r="B47" s="58" t="str"/>
      <x:c r="C47" s="58" t="str"/>
      <x:c r="D47" s="58" t="str"/>
      <x:c r="E47" s="58" t="str"/>
      <x:c r="F47" s="70"/>
      <x:c r="G47" s="58" t="str"/>
      <x:c r="H47" s="58"/>
      <x:c r="I47" s="58"/>
      <x:c r="J47" s="58"/>
      <x:c r="K47" s="71"/>
      <x:c r="L47" s="71"/>
      <x:c r="M47" s="58" t="str"/>
      <x:c r="N47" s="58" t="str"/>
    </x:row>
    <x:row r="48">
      <x:c r="A48" s="58" t="str"/>
      <x:c r="B48" s="58" t="str"/>
      <x:c r="C48" s="58" t="str"/>
      <x:c r="D48" s="58" t="str"/>
      <x:c r="E48" s="58" t="str"/>
      <x:c r="F48" s="70"/>
      <x:c r="G48" s="58" t="str"/>
      <x:c r="H48" s="58"/>
      <x:c r="I48" s="58"/>
      <x:c r="J48" s="58"/>
      <x:c r="K48" s="71"/>
      <x:c r="L48" s="71"/>
      <x:c r="M48" s="58" t="str"/>
      <x:c r="N48" s="58" t="str"/>
    </x:row>
    <x:row r="49">
      <x:c r="A49" s="58" t="str"/>
      <x:c r="B49" s="58" t="str"/>
      <x:c r="C49" s="58" t="str"/>
      <x:c r="D49" s="58" t="str"/>
      <x:c r="E49" s="58" t="str"/>
      <x:c r="F49" s="70"/>
      <x:c r="G49" s="58" t="str"/>
      <x:c r="H49" s="58"/>
      <x:c r="I49" s="58"/>
      <x:c r="J49" s="58"/>
      <x:c r="K49" s="71"/>
      <x:c r="L49" s="71"/>
      <x:c r="M49" s="58" t="str"/>
      <x:c r="N49" s="58" t="str"/>
    </x:row>
    <x:row r="50">
      <x:c r="A50" s="58" t="str"/>
      <x:c r="B50" s="58" t="str"/>
      <x:c r="C50" s="58" t="str"/>
      <x:c r="D50" s="58" t="str"/>
      <x:c r="E50" s="58" t="str"/>
      <x:c r="F50" s="70"/>
      <x:c r="G50" s="58" t="str"/>
      <x:c r="H50" s="58"/>
      <x:c r="I50" s="58"/>
      <x:c r="J50" s="58"/>
      <x:c r="K50" s="71"/>
      <x:c r="L50" s="71"/>
      <x:c r="M50" s="58" t="str"/>
      <x:c r="N50" s="58" t="str"/>
    </x:row>
    <x:row r="51">
      <x:c r="A51" s="58" t="str"/>
      <x:c r="B51" s="58" t="str"/>
      <x:c r="C51" s="58" t="str"/>
      <x:c r="D51" s="58" t="str"/>
      <x:c r="E51" s="58" t="str"/>
      <x:c r="F51" s="70"/>
      <x:c r="G51" s="58" t="str"/>
      <x:c r="H51" s="58"/>
      <x:c r="I51" s="58"/>
      <x:c r="J51" s="58"/>
      <x:c r="K51" s="71"/>
      <x:c r="L51" s="71"/>
      <x:c r="M51" s="58" t="str"/>
      <x:c r="N51" s="58" t="str"/>
    </x:row>
    <x:row r="52">
      <x:c r="A52" s="58" t="str"/>
      <x:c r="B52" s="58" t="str"/>
      <x:c r="C52" s="58" t="str"/>
      <x:c r="D52" s="58" t="str"/>
      <x:c r="E52" s="58" t="str"/>
      <x:c r="F52" s="70"/>
      <x:c r="G52" s="58" t="str"/>
      <x:c r="H52" s="58"/>
      <x:c r="I52" s="58"/>
      <x:c r="J52" s="58"/>
      <x:c r="K52" s="71"/>
      <x:c r="L52" s="71"/>
      <x:c r="M52" s="58" t="str"/>
      <x:c r="N52" s="58" t="str"/>
    </x:row>
    <x:row r="53">
      <x:c r="A53" s="58" t="str"/>
      <x:c r="B53" s="58" t="str"/>
      <x:c r="C53" s="58" t="str"/>
      <x:c r="D53" s="58" t="str"/>
      <x:c r="E53" s="58" t="str"/>
      <x:c r="F53" s="70"/>
      <x:c r="G53" s="58" t="str"/>
      <x:c r="H53" s="58"/>
      <x:c r="I53" s="58"/>
      <x:c r="J53" s="58"/>
      <x:c r="K53" s="71"/>
      <x:c r="L53" s="71"/>
      <x:c r="M53" s="58" t="str"/>
      <x:c r="N53" s="58" t="str"/>
    </x:row>
    <x:row r="54">
      <x:c r="A54" s="58" t="str"/>
      <x:c r="B54" s="58" t="str"/>
      <x:c r="C54" s="58" t="str"/>
      <x:c r="D54" s="58" t="str"/>
      <x:c r="E54" s="58" t="str"/>
      <x:c r="F54" s="70"/>
      <x:c r="G54" s="58" t="str"/>
      <x:c r="H54" s="58"/>
      <x:c r="I54" s="58"/>
      <x:c r="J54" s="58"/>
      <x:c r="K54" s="71"/>
      <x:c r="L54" s="71"/>
      <x:c r="M54" s="58" t="str"/>
      <x:c r="N54" s="58" t="str"/>
    </x:row>
    <x:row r="55">
      <x:c r="A55" s="58" t="str"/>
      <x:c r="B55" s="58" t="str"/>
      <x:c r="C55" s="58" t="str"/>
      <x:c r="D55" s="58" t="str"/>
      <x:c r="E55" s="58" t="str"/>
      <x:c r="F55" s="70"/>
      <x:c r="G55" s="58" t="str"/>
      <x:c r="H55" s="58"/>
      <x:c r="I55" s="58"/>
      <x:c r="J55" s="58"/>
      <x:c r="K55" s="71"/>
      <x:c r="L55" s="71"/>
      <x:c r="M55" s="58" t="str"/>
      <x:c r="N55" s="58" t="str"/>
    </x:row>
    <x:row r="56">
      <x:c r="A56" s="58" t="str"/>
      <x:c r="B56" s="58" t="str"/>
      <x:c r="C56" s="58" t="str"/>
      <x:c r="D56" s="58" t="str"/>
      <x:c r="E56" s="58" t="str"/>
      <x:c r="F56" s="70"/>
      <x:c r="G56" s="58" t="str"/>
      <x:c r="H56" s="58"/>
      <x:c r="I56" s="58"/>
      <x:c r="J56" s="58"/>
      <x:c r="K56" s="71"/>
      <x:c r="L56" s="71"/>
      <x:c r="M56" s="58" t="str"/>
      <x:c r="N56" s="58" t="str"/>
    </x:row>
    <x:row r="57">
      <x:c r="A57" s="58" t="str"/>
      <x:c r="B57" s="58" t="str"/>
      <x:c r="C57" s="58" t="str"/>
      <x:c r="D57" s="58" t="str"/>
      <x:c r="E57" s="58" t="str"/>
      <x:c r="F57" s="70"/>
      <x:c r="G57" s="58" t="str"/>
      <x:c r="H57" s="58"/>
      <x:c r="I57" s="58"/>
      <x:c r="J57" s="58"/>
      <x:c r="K57" s="71"/>
      <x:c r="L57" s="71"/>
      <x:c r="M57" s="58" t="str"/>
      <x:c r="N57" s="58" t="str"/>
    </x:row>
    <x:row r="58">
      <x:c r="A58" s="58" t="str"/>
      <x:c r="B58" s="58" t="str"/>
      <x:c r="C58" s="58" t="str"/>
      <x:c r="D58" s="58" t="str"/>
      <x:c r="E58" s="58" t="str"/>
      <x:c r="F58" s="70"/>
      <x:c r="G58" s="58" t="str"/>
      <x:c r="H58" s="58"/>
      <x:c r="I58" s="58"/>
      <x:c r="J58" s="58"/>
      <x:c r="K58" s="71"/>
      <x:c r="L58" s="71"/>
      <x:c r="M58" s="58" t="str"/>
      <x:c r="N58" s="58" t="str"/>
    </x:row>
    <x:row r="59">
      <x:c r="A59" s="58" t="str"/>
      <x:c r="B59" s="58" t="str"/>
      <x:c r="C59" s="58" t="str"/>
      <x:c r="D59" s="58" t="str"/>
      <x:c r="E59" s="58" t="str"/>
      <x:c r="F59" s="70"/>
      <x:c r="G59" s="58" t="str"/>
      <x:c r="H59" s="58"/>
      <x:c r="I59" s="58"/>
      <x:c r="J59" s="58"/>
      <x:c r="K59" s="71"/>
      <x:c r="L59" s="71"/>
      <x:c r="M59" s="58" t="str"/>
      <x:c r="N59" s="58" t="str"/>
    </x:row>
    <x:row r="60">
      <x:c r="A60" s="58" t="str"/>
      <x:c r="B60" s="58" t="str"/>
      <x:c r="C60" s="58" t="str"/>
      <x:c r="D60" s="58" t="str"/>
      <x:c r="E60" s="58" t="str"/>
      <x:c r="F60" s="70"/>
      <x:c r="G60" s="58" t="str"/>
      <x:c r="H60" s="58"/>
      <x:c r="I60" s="58"/>
      <x:c r="J60" s="58"/>
      <x:c r="K60" s="71"/>
      <x:c r="L60" s="71"/>
      <x:c r="M60" s="58" t="str"/>
      <x:c r="N60" s="58" t="str"/>
    </x:row>
    <x:row r="61">
      <x:c r="A61" s="58" t="str"/>
      <x:c r="B61" s="58" t="str"/>
      <x:c r="C61" s="58" t="str"/>
      <x:c r="D61" s="58" t="str"/>
      <x:c r="E61" s="58" t="str"/>
      <x:c r="F61" s="70"/>
      <x:c r="G61" s="58" t="str"/>
      <x:c r="H61" s="58"/>
      <x:c r="I61" s="58"/>
      <x:c r="J61" s="58"/>
      <x:c r="K61" s="71"/>
      <x:c r="L61" s="71"/>
      <x:c r="M61" s="58" t="str"/>
      <x:c r="N61" s="58" t="str"/>
    </x:row>
    <x:row r="62">
      <x:c r="A62" s="58" t="str"/>
      <x:c r="B62" s="58" t="str"/>
      <x:c r="C62" s="58" t="str"/>
      <x:c r="D62" s="58" t="str"/>
      <x:c r="E62" s="58" t="str"/>
      <x:c r="F62" s="70"/>
      <x:c r="G62" s="58" t="str"/>
      <x:c r="H62" s="58"/>
      <x:c r="I62" s="58"/>
      <x:c r="J62" s="58"/>
      <x:c r="K62" s="71"/>
      <x:c r="L62" s="71"/>
      <x:c r="M62" s="58" t="str"/>
      <x:c r="N62" s="58" t="str"/>
    </x:row>
    <x:row r="63">
      <x:c r="A63" s="58" t="str"/>
      <x:c r="B63" s="58" t="str"/>
      <x:c r="C63" s="58" t="str"/>
      <x:c r="D63" s="58" t="str"/>
      <x:c r="E63" s="58" t="str"/>
      <x:c r="F63" s="70"/>
      <x:c r="G63" s="58" t="str"/>
      <x:c r="H63" s="58"/>
      <x:c r="I63" s="58"/>
      <x:c r="J63" s="58"/>
      <x:c r="K63" s="71"/>
      <x:c r="L63" s="71"/>
      <x:c r="M63" s="58" t="str"/>
      <x:c r="N63" s="58" t="str"/>
    </x:row>
    <x:row r="64">
      <x:c r="A64" s="58" t="str"/>
      <x:c r="B64" s="58" t="str"/>
      <x:c r="C64" s="58" t="str"/>
      <x:c r="D64" s="58" t="str"/>
      <x:c r="E64" s="58" t="str"/>
      <x:c r="F64" s="70"/>
      <x:c r="G64" s="58" t="str"/>
      <x:c r="H64" s="58"/>
      <x:c r="I64" s="58"/>
      <x:c r="J64" s="58"/>
      <x:c r="K64" s="71"/>
      <x:c r="L64" s="71"/>
      <x:c r="M64" s="58" t="str"/>
      <x:c r="N64" s="58" t="str"/>
    </x:row>
    <x:row r="65">
      <x:c r="A65" s="58" t="str"/>
      <x:c r="B65" s="58" t="str"/>
      <x:c r="C65" s="58" t="str"/>
      <x:c r="D65" s="58" t="str"/>
      <x:c r="E65" s="58" t="str"/>
      <x:c r="F65" s="70"/>
      <x:c r="G65" s="58" t="str"/>
      <x:c r="H65" s="58"/>
      <x:c r="I65" s="58"/>
      <x:c r="J65" s="58"/>
      <x:c r="K65" s="71"/>
      <x:c r="L65" s="71"/>
      <x:c r="M65" s="58" t="str"/>
      <x:c r="N65" s="58" t="str"/>
    </x:row>
    <x:row r="66">
      <x:c r="A66" s="58" t="str"/>
      <x:c r="B66" s="58" t="str"/>
      <x:c r="C66" s="58" t="str"/>
      <x:c r="D66" s="58" t="str"/>
      <x:c r="E66" s="58" t="str"/>
      <x:c r="F66" s="70"/>
      <x:c r="G66" s="58" t="str"/>
      <x:c r="H66" s="58"/>
      <x:c r="I66" s="58"/>
      <x:c r="J66" s="58"/>
      <x:c r="K66" s="71"/>
      <x:c r="L66" s="71"/>
      <x:c r="M66" s="58" t="str"/>
      <x:c r="N66" s="58" t="str"/>
    </x:row>
    <x:row r="67">
      <x:c r="A67" s="58" t="str"/>
      <x:c r="B67" s="58" t="str"/>
      <x:c r="C67" s="58" t="str"/>
      <x:c r="D67" s="58" t="str"/>
      <x:c r="E67" s="58" t="str"/>
      <x:c r="F67" s="70"/>
      <x:c r="G67" s="58" t="str"/>
      <x:c r="H67" s="58"/>
      <x:c r="I67" s="58"/>
      <x:c r="J67" s="58"/>
      <x:c r="K67" s="71"/>
      <x:c r="L67" s="71"/>
      <x:c r="M67" s="58" t="str"/>
      <x:c r="N67" s="58" t="str"/>
    </x:row>
    <x:row r="68">
      <x:c r="A68" s="58" t="str"/>
      <x:c r="B68" s="58" t="str"/>
      <x:c r="C68" s="58" t="str"/>
      <x:c r="D68" s="58" t="str"/>
      <x:c r="E68" s="58" t="str"/>
      <x:c r="F68" s="70"/>
      <x:c r="G68" s="58" t="str"/>
      <x:c r="H68" s="58"/>
      <x:c r="I68" s="58"/>
      <x:c r="J68" s="58"/>
      <x:c r="K68" s="71"/>
      <x:c r="L68" s="71"/>
      <x:c r="M68" s="58" t="str"/>
      <x:c r="N68" s="58" t="str"/>
    </x:row>
    <x:row r="69">
      <x:c r="A69" s="58" t="str"/>
      <x:c r="B69" s="58" t="str"/>
      <x:c r="C69" s="58" t="str"/>
      <x:c r="D69" s="58" t="str"/>
      <x:c r="E69" s="58" t="str"/>
      <x:c r="F69" s="70"/>
      <x:c r="G69" s="58" t="str"/>
      <x:c r="H69" s="58"/>
      <x:c r="I69" s="58"/>
      <x:c r="J69" s="58"/>
      <x:c r="K69" s="71"/>
      <x:c r="L69" s="71"/>
      <x:c r="M69" s="58" t="str"/>
      <x:c r="N69" s="58" t="str"/>
    </x:row>
    <x:row r="70">
      <x:c r="A70" s="58" t="str"/>
      <x:c r="B70" s="58" t="str"/>
      <x:c r="C70" s="58" t="str"/>
      <x:c r="D70" s="58" t="str"/>
      <x:c r="E70" s="58" t="str"/>
      <x:c r="F70" s="70"/>
      <x:c r="G70" s="58" t="str"/>
      <x:c r="H70" s="58"/>
      <x:c r="I70" s="58"/>
      <x:c r="J70" s="58"/>
      <x:c r="K70" s="71"/>
      <x:c r="L70" s="71"/>
      <x:c r="M70" s="58" t="str"/>
      <x:c r="N70" s="58" t="str"/>
    </x:row>
    <x:row r="71">
      <x:c r="A71" s="58" t="str"/>
      <x:c r="B71" s="58" t="str"/>
      <x:c r="C71" s="58" t="str"/>
      <x:c r="D71" s="58" t="str"/>
      <x:c r="E71" s="58" t="str"/>
      <x:c r="F71" s="70"/>
      <x:c r="G71" s="58" t="str"/>
      <x:c r="H71" s="58"/>
      <x:c r="I71" s="58"/>
      <x:c r="J71" s="58"/>
      <x:c r="K71" s="71"/>
      <x:c r="L71" s="71"/>
      <x:c r="M71" s="58" t="str"/>
      <x:c r="N71" s="58" t="str"/>
    </x:row>
    <x:row r="72">
      <x:c r="A72" s="58" t="str"/>
      <x:c r="B72" s="58" t="str"/>
      <x:c r="C72" s="58" t="str"/>
      <x:c r="D72" s="58" t="str"/>
      <x:c r="E72" s="58" t="str"/>
      <x:c r="F72" s="70"/>
      <x:c r="G72" s="58" t="str"/>
      <x:c r="H72" s="58"/>
      <x:c r="I72" s="58"/>
      <x:c r="J72" s="58"/>
      <x:c r="K72" s="71"/>
      <x:c r="L72" s="71"/>
      <x:c r="M72" s="58" t="str"/>
      <x:c r="N72" s="58" t="str"/>
    </x:row>
    <x:row r="73">
      <x:c r="A73" s="58" t="str"/>
      <x:c r="B73" s="58" t="str"/>
      <x:c r="C73" s="58" t="str"/>
      <x:c r="D73" s="58" t="str"/>
      <x:c r="E73" s="58" t="str"/>
      <x:c r="F73" s="70"/>
      <x:c r="G73" s="58" t="str"/>
      <x:c r="H73" s="58"/>
      <x:c r="I73" s="58"/>
      <x:c r="J73" s="58"/>
      <x:c r="K73" s="71"/>
      <x:c r="L73" s="71"/>
      <x:c r="M73" s="58" t="str"/>
      <x:c r="N73" s="58" t="str"/>
    </x:row>
    <x:row r="74">
      <x:c r="A74" s="58" t="str"/>
      <x:c r="B74" s="58" t="str"/>
      <x:c r="C74" s="58" t="str"/>
      <x:c r="D74" s="58" t="str"/>
      <x:c r="E74" s="58" t="str"/>
      <x:c r="F74" s="70"/>
      <x:c r="G74" s="58" t="str"/>
      <x:c r="H74" s="58"/>
      <x:c r="I74" s="58"/>
      <x:c r="J74" s="58"/>
      <x:c r="K74" s="71"/>
      <x:c r="L74" s="71"/>
      <x:c r="M74" s="58" t="str"/>
      <x:c r="N74" s="58" t="str"/>
    </x:row>
    <x:row r="75">
      <x:c r="A75" s="58" t="str"/>
      <x:c r="B75" s="58" t="str"/>
      <x:c r="C75" s="58" t="str"/>
      <x:c r="D75" s="58" t="str"/>
      <x:c r="E75" s="58" t="str"/>
      <x:c r="F75" s="70"/>
      <x:c r="G75" s="58" t="str"/>
      <x:c r="H75" s="58"/>
      <x:c r="I75" s="58"/>
      <x:c r="J75" s="58"/>
      <x:c r="K75" s="71"/>
      <x:c r="L75" s="71"/>
      <x:c r="M75" s="58" t="str"/>
      <x:c r="N75" s="58" t="str"/>
    </x:row>
    <x:row r="76">
      <x:c r="A76" s="58" t="str"/>
      <x:c r="B76" s="58" t="str"/>
      <x:c r="C76" s="58" t="str"/>
      <x:c r="D76" s="58" t="str"/>
      <x:c r="E76" s="58" t="str"/>
      <x:c r="F76" s="70"/>
      <x:c r="G76" s="58" t="str"/>
      <x:c r="H76" s="58"/>
      <x:c r="I76" s="58"/>
      <x:c r="J76" s="58"/>
      <x:c r="K76" s="71"/>
      <x:c r="L76" s="71"/>
      <x:c r="M76" s="58" t="str"/>
      <x:c r="N76" s="58" t="str"/>
    </x:row>
    <x:row r="77">
      <x:c r="A77" s="58" t="str"/>
      <x:c r="B77" s="58" t="str"/>
      <x:c r="C77" s="58" t="str"/>
      <x:c r="D77" s="58" t="str"/>
      <x:c r="E77" s="58" t="str"/>
      <x:c r="F77" s="70"/>
      <x:c r="G77" s="58" t="str"/>
      <x:c r="H77" s="58"/>
      <x:c r="I77" s="58"/>
      <x:c r="J77" s="58"/>
      <x:c r="K77" s="71"/>
      <x:c r="L77" s="71"/>
      <x:c r="M77" s="58" t="str"/>
      <x:c r="N77" s="58" t="str"/>
    </x:row>
    <x:row r="78">
      <x:c r="A78" s="58" t="str"/>
      <x:c r="B78" s="58" t="str"/>
      <x:c r="C78" s="58" t="str"/>
      <x:c r="D78" s="58" t="str"/>
      <x:c r="E78" s="58" t="str"/>
      <x:c r="F78" s="70"/>
      <x:c r="G78" s="58" t="str"/>
      <x:c r="H78" s="58"/>
      <x:c r="I78" s="58"/>
      <x:c r="J78" s="58"/>
      <x:c r="K78" s="71"/>
      <x:c r="L78" s="71"/>
      <x:c r="M78" s="58" t="str"/>
      <x:c r="N78" s="58" t="str"/>
    </x:row>
    <x:row r="79">
      <x:c r="A79" s="58" t="str"/>
      <x:c r="B79" s="58" t="str"/>
      <x:c r="C79" s="58" t="str"/>
      <x:c r="D79" s="58" t="str"/>
      <x:c r="E79" s="58" t="str"/>
      <x:c r="F79" s="70"/>
      <x:c r="G79" s="58" t="str"/>
      <x:c r="H79" s="58"/>
      <x:c r="I79" s="58"/>
      <x:c r="J79" s="58"/>
      <x:c r="K79" s="71"/>
      <x:c r="L79" s="71"/>
      <x:c r="M79" s="58" t="str"/>
      <x:c r="N79" s="58" t="str"/>
    </x:row>
    <x:row r="80">
      <x:c r="A80" s="58" t="str"/>
      <x:c r="B80" s="58" t="str"/>
      <x:c r="C80" s="58" t="str"/>
      <x:c r="D80" s="58" t="str"/>
      <x:c r="E80" s="58" t="str"/>
      <x:c r="F80" s="70"/>
      <x:c r="G80" s="58" t="str"/>
      <x:c r="H80" s="58"/>
      <x:c r="I80" s="58"/>
      <x:c r="J80" s="58"/>
      <x:c r="K80" s="71"/>
      <x:c r="L80" s="71"/>
      <x:c r="M80" s="58" t="str"/>
      <x:c r="N80" s="58" t="str"/>
    </x:row>
    <x:row r="81">
      <x:c r="A81" s="58" t="str"/>
      <x:c r="B81" s="58" t="str"/>
      <x:c r="C81" s="58" t="str"/>
      <x:c r="D81" s="58" t="str"/>
      <x:c r="E81" s="58" t="str"/>
      <x:c r="F81" s="70"/>
      <x:c r="G81" s="58" t="str"/>
      <x:c r="H81" s="58"/>
      <x:c r="I81" s="58"/>
      <x:c r="J81" s="58"/>
      <x:c r="K81" s="71"/>
      <x:c r="L81" s="71"/>
      <x:c r="M81" s="58" t="str"/>
      <x:c r="N81" s="58" t="str"/>
    </x:row>
    <x:row r="82">
      <x:c r="A82" s="58" t="str"/>
      <x:c r="B82" s="58" t="str"/>
      <x:c r="C82" s="58" t="str"/>
      <x:c r="D82" s="58" t="str"/>
      <x:c r="E82" s="58" t="str"/>
      <x:c r="F82" s="70"/>
      <x:c r="G82" s="58" t="str"/>
      <x:c r="H82" s="58"/>
      <x:c r="I82" s="58"/>
      <x:c r="J82" s="58"/>
      <x:c r="K82" s="71"/>
      <x:c r="L82" s="71"/>
      <x:c r="M82" s="58" t="str"/>
      <x:c r="N82" s="58" t="str"/>
    </x:row>
    <x:row r="83">
      <x:c r="A83" s="58" t="str"/>
      <x:c r="B83" s="58" t="str"/>
      <x:c r="C83" s="58" t="str"/>
      <x:c r="D83" s="58" t="str"/>
      <x:c r="E83" s="58" t="str"/>
      <x:c r="F83" s="70"/>
      <x:c r="G83" s="58" t="str"/>
      <x:c r="H83" s="58"/>
      <x:c r="I83" s="58"/>
      <x:c r="J83" s="58"/>
      <x:c r="K83" s="71"/>
      <x:c r="L83" s="71"/>
      <x:c r="M83" s="58" t="str"/>
      <x:c r="N83" s="58" t="str"/>
    </x:row>
    <x:row r="84">
      <x:c r="A84" s="58" t="str"/>
      <x:c r="B84" s="58" t="str"/>
      <x:c r="C84" s="58" t="str"/>
      <x:c r="D84" s="58" t="str"/>
      <x:c r="E84" s="58" t="str"/>
      <x:c r="F84" s="70"/>
      <x:c r="G84" s="58" t="str"/>
      <x:c r="H84" s="58"/>
      <x:c r="I84" s="58"/>
      <x:c r="J84" s="58"/>
      <x:c r="K84" s="71"/>
      <x:c r="L84" s="71"/>
      <x:c r="M84" s="58" t="str"/>
      <x:c r="N84" s="58" t="str"/>
    </x:row>
    <x:row r="85">
      <x:c r="A85" s="58" t="str"/>
      <x:c r="B85" s="58" t="str"/>
      <x:c r="C85" s="58" t="str"/>
      <x:c r="D85" s="58" t="str"/>
      <x:c r="E85" s="58" t="str"/>
      <x:c r="F85" s="70"/>
      <x:c r="G85" s="58" t="str"/>
      <x:c r="H85" s="58"/>
      <x:c r="I85" s="58"/>
      <x:c r="J85" s="58"/>
      <x:c r="K85" s="71"/>
      <x:c r="L85" s="71"/>
      <x:c r="M85" s="58" t="str"/>
      <x:c r="N85" s="58" t="str"/>
    </x:row>
    <x:row r="86">
      <x:c r="A86" s="58" t="str"/>
      <x:c r="B86" s="58" t="str"/>
      <x:c r="C86" s="58" t="str"/>
      <x:c r="D86" s="58" t="str"/>
      <x:c r="E86" s="58" t="str"/>
      <x:c r="F86" s="70"/>
      <x:c r="G86" s="58" t="str"/>
      <x:c r="H86" s="58"/>
      <x:c r="I86" s="58"/>
      <x:c r="J86" s="58"/>
      <x:c r="K86" s="71"/>
      <x:c r="L86" s="71"/>
      <x:c r="M86" s="58" t="str"/>
      <x:c r="N86" s="58" t="str"/>
    </x:row>
    <x:row r="87">
      <x:c r="A87" s="58" t="str"/>
      <x:c r="B87" s="58" t="str"/>
      <x:c r="C87" s="58" t="str"/>
      <x:c r="D87" s="58" t="str"/>
      <x:c r="E87" s="58" t="str"/>
      <x:c r="F87" s="70"/>
      <x:c r="G87" s="58" t="str"/>
      <x:c r="H87" s="58"/>
      <x:c r="I87" s="58"/>
      <x:c r="J87" s="58"/>
      <x:c r="K87" s="71"/>
      <x:c r="L87" s="71"/>
      <x:c r="M87" s="58" t="str"/>
      <x:c r="N87" s="58" t="str"/>
    </x:row>
    <x:row r="88">
      <x:c r="A88" s="58" t="str"/>
      <x:c r="B88" s="58" t="str"/>
      <x:c r="C88" s="58" t="str"/>
      <x:c r="D88" s="58" t="str"/>
      <x:c r="E88" s="58" t="str"/>
      <x:c r="F88" s="70"/>
      <x:c r="G88" s="58" t="str"/>
      <x:c r="H88" s="58"/>
      <x:c r="I88" s="58"/>
      <x:c r="J88" s="58"/>
      <x:c r="K88" s="71"/>
      <x:c r="L88" s="71"/>
      <x:c r="M88" s="58" t="str"/>
      <x:c r="N88" s="58" t="str"/>
    </x:row>
    <x:row r="89">
      <x:c r="A89" s="58" t="str"/>
      <x:c r="B89" s="58" t="str"/>
      <x:c r="C89" s="58" t="str"/>
      <x:c r="D89" s="58" t="str"/>
      <x:c r="E89" s="58" t="str"/>
      <x:c r="F89" s="70"/>
      <x:c r="G89" s="58" t="str"/>
      <x:c r="H89" s="58"/>
      <x:c r="I89" s="58"/>
      <x:c r="J89" s="58"/>
      <x:c r="K89" s="71"/>
      <x:c r="L89" s="71"/>
      <x:c r="M89" s="58" t="str"/>
      <x:c r="N89" s="58" t="str"/>
    </x:row>
    <x:row r="90">
      <x:c r="A90" s="58" t="str"/>
      <x:c r="B90" s="58" t="str"/>
      <x:c r="C90" s="58" t="str"/>
      <x:c r="D90" s="58" t="str"/>
      <x:c r="E90" s="58" t="str"/>
      <x:c r="F90" s="70"/>
      <x:c r="G90" s="58" t="str"/>
      <x:c r="H90" s="58"/>
      <x:c r="I90" s="58"/>
      <x:c r="J90" s="58"/>
      <x:c r="K90" s="71"/>
      <x:c r="L90" s="71"/>
      <x:c r="M90" s="58" t="str"/>
      <x:c r="N90" s="58" t="str"/>
    </x:row>
    <x:row r="91">
      <x:c r="A91" s="58" t="str"/>
      <x:c r="B91" s="58" t="str"/>
      <x:c r="C91" s="58" t="str"/>
      <x:c r="D91" s="58" t="str"/>
      <x:c r="E91" s="58" t="str"/>
      <x:c r="F91" s="70"/>
      <x:c r="G91" s="58" t="str"/>
      <x:c r="H91" s="58"/>
      <x:c r="I91" s="58"/>
      <x:c r="J91" s="58"/>
      <x:c r="K91" s="71"/>
      <x:c r="L91" s="71"/>
      <x:c r="M91" s="58" t="str"/>
      <x:c r="N91" s="58" t="str"/>
    </x:row>
    <x:row r="92">
      <x:c r="A92" s="58" t="str"/>
      <x:c r="B92" s="58" t="str"/>
      <x:c r="C92" s="58" t="str"/>
      <x:c r="D92" s="58" t="str"/>
      <x:c r="E92" s="58" t="str"/>
      <x:c r="F92" s="70"/>
      <x:c r="G92" s="58" t="str"/>
      <x:c r="H92" s="58"/>
      <x:c r="I92" s="58"/>
      <x:c r="J92" s="58"/>
      <x:c r="K92" s="71"/>
      <x:c r="L92" s="71"/>
      <x:c r="M92" s="58" t="str"/>
      <x:c r="N92" s="58" t="str"/>
    </x:row>
    <x:row r="93">
      <x:c r="A93" s="58" t="str"/>
      <x:c r="B93" s="58" t="str"/>
      <x:c r="C93" s="58" t="str"/>
      <x:c r="D93" s="58" t="str"/>
      <x:c r="E93" s="58" t="str"/>
      <x:c r="F93" s="70"/>
      <x:c r="G93" s="58" t="str"/>
      <x:c r="H93" s="58"/>
      <x:c r="I93" s="58"/>
      <x:c r="J93" s="58"/>
      <x:c r="K93" s="71"/>
      <x:c r="L93" s="71"/>
      <x:c r="M93" s="58" t="str"/>
      <x:c r="N93" s="58" t="str"/>
    </x:row>
    <x:row r="94">
      <x:c r="A94" s="58" t="str"/>
      <x:c r="B94" s="58" t="str"/>
      <x:c r="C94" s="58" t="str"/>
      <x:c r="D94" s="58" t="str"/>
      <x:c r="E94" s="58" t="str"/>
      <x:c r="F94" s="70"/>
      <x:c r="G94" s="58" t="str"/>
      <x:c r="H94" s="58"/>
      <x:c r="I94" s="58"/>
      <x:c r="J94" s="58"/>
      <x:c r="K94" s="71"/>
      <x:c r="L94" s="71"/>
      <x:c r="M94" s="58" t="str"/>
      <x:c r="N94" s="58" t="str"/>
    </x:row>
    <x:row r="95">
      <x:c r="A95" s="58" t="str"/>
      <x:c r="B95" s="58" t="str"/>
      <x:c r="C95" s="58" t="str"/>
      <x:c r="D95" s="58" t="str"/>
      <x:c r="E95" s="58" t="str"/>
      <x:c r="F95" s="70"/>
      <x:c r="G95" s="58" t="str"/>
      <x:c r="H95" s="58"/>
      <x:c r="I95" s="58"/>
      <x:c r="J95" s="58"/>
      <x:c r="K95" s="71"/>
      <x:c r="L95" s="71"/>
      <x:c r="M95" s="58" t="str"/>
      <x:c r="N95" s="58" t="str"/>
    </x:row>
    <x:row r="96">
      <x:c r="A96" s="58" t="str"/>
      <x:c r="B96" s="58" t="str"/>
      <x:c r="C96" s="58" t="str"/>
      <x:c r="D96" s="58" t="str"/>
      <x:c r="E96" s="58" t="str"/>
      <x:c r="F96" s="70"/>
      <x:c r="G96" s="58" t="str"/>
      <x:c r="H96" s="58"/>
      <x:c r="I96" s="58"/>
      <x:c r="J96" s="58"/>
      <x:c r="K96" s="71"/>
      <x:c r="L96" s="71"/>
      <x:c r="M96" s="58" t="str"/>
      <x:c r="N96" s="58" t="str"/>
    </x:row>
    <x:row r="97">
      <x:c r="A97" s="58" t="str"/>
      <x:c r="B97" s="58" t="str"/>
      <x:c r="C97" s="58" t="str"/>
      <x:c r="D97" s="58" t="str"/>
      <x:c r="E97" s="58" t="str"/>
      <x:c r="F97" s="70"/>
      <x:c r="G97" s="58" t="str"/>
      <x:c r="H97" s="58"/>
      <x:c r="I97" s="58"/>
      <x:c r="J97" s="58"/>
      <x:c r="K97" s="71"/>
      <x:c r="L97" s="71"/>
      <x:c r="M97" s="58" t="str"/>
      <x:c r="N97" s="58" t="str"/>
    </x:row>
    <x:row r="98">
      <x:c r="A98" s="58" t="str"/>
      <x:c r="B98" s="58" t="str"/>
      <x:c r="C98" s="58" t="str"/>
      <x:c r="D98" s="58" t="str"/>
      <x:c r="E98" s="58" t="str"/>
      <x:c r="F98" s="70"/>
      <x:c r="G98" s="58" t="str"/>
      <x:c r="H98" s="58"/>
      <x:c r="I98" s="58"/>
      <x:c r="J98" s="58"/>
      <x:c r="K98" s="71"/>
      <x:c r="L98" s="71"/>
      <x:c r="M98" s="58" t="str"/>
      <x:c r="N98" s="58" t="str"/>
    </x:row>
    <x:row r="99">
      <x:c r="A99" s="58" t="str"/>
      <x:c r="B99" s="58" t="str"/>
      <x:c r="C99" s="58" t="str"/>
      <x:c r="D99" s="58" t="str"/>
      <x:c r="E99" s="58" t="str"/>
      <x:c r="F99" s="70"/>
      <x:c r="G99" s="58" t="str"/>
      <x:c r="H99" s="58"/>
      <x:c r="I99" s="58"/>
      <x:c r="J99" s="58"/>
      <x:c r="K99" s="71"/>
      <x:c r="L99" s="71"/>
      <x:c r="M99" s="58" t="str"/>
      <x:c r="N99" s="58" t="str"/>
    </x:row>
    <x:row r="100">
      <x:c r="A100" s="58" t="str"/>
      <x:c r="B100" s="58" t="str"/>
      <x:c r="C100" s="58" t="str"/>
      <x:c r="D100" s="58" t="str"/>
      <x:c r="E100" s="58" t="str"/>
      <x:c r="F100" s="70"/>
      <x:c r="G100" s="58" t="str"/>
      <x:c r="H100" s="58"/>
      <x:c r="I100" s="58"/>
      <x:c r="J100" s="58"/>
      <x:c r="K100" s="71"/>
      <x:c r="L100" s="71"/>
      <x:c r="M100" s="58" t="str"/>
      <x:c r="N100" s="58" t="str"/>
    </x:row>
    <x:row r="101">
      <x:c r="A101" s="58" t="str"/>
      <x:c r="B101" s="58" t="str"/>
      <x:c r="C101" s="58" t="str"/>
      <x:c r="D101" s="58" t="str"/>
      <x:c r="E101" s="58" t="str"/>
      <x:c r="F101" s="70"/>
      <x:c r="G101" s="58" t="str"/>
      <x:c r="H101" s="58"/>
      <x:c r="I101" s="58"/>
      <x:c r="J101" s="58"/>
      <x:c r="K101" s="71"/>
      <x:c r="L101" s="71"/>
      <x:c r="M101" s="58" t="str"/>
      <x:c r="N101" s="58" t="str"/>
    </x:row>
    <x:row r="102">
      <x:c r="A102" s="58" t="str"/>
      <x:c r="B102" s="58" t="str"/>
      <x:c r="C102" s="58" t="str"/>
      <x:c r="D102" s="58" t="str"/>
      <x:c r="E102" s="58" t="str"/>
      <x:c r="F102" s="70"/>
      <x:c r="G102" s="58" t="str"/>
      <x:c r="H102" s="58"/>
      <x:c r="I102" s="58"/>
      <x:c r="J102" s="58"/>
      <x:c r="K102" s="71"/>
      <x:c r="L102" s="71"/>
      <x:c r="M102" s="58" t="str"/>
      <x:c r="N102" s="58" t="str"/>
    </x:row>
    <x:row r="103">
      <x:c r="A103" s="58" t="str"/>
      <x:c r="B103" s="58" t="str"/>
      <x:c r="C103" s="58" t="str"/>
      <x:c r="D103" s="58" t="str"/>
      <x:c r="E103" s="58" t="str"/>
      <x:c r="F103" s="70"/>
      <x:c r="G103" s="58" t="str"/>
      <x:c r="H103" s="58"/>
      <x:c r="I103" s="58"/>
      <x:c r="J103" s="58"/>
      <x:c r="K103" s="71"/>
      <x:c r="L103" s="71"/>
      <x:c r="M103" s="58" t="str"/>
      <x:c r="N103" s="58" t="str"/>
    </x:row>
    <x:row r="104">
      <x:c r="A104" s="58" t="str"/>
      <x:c r="B104" s="58" t="str"/>
      <x:c r="C104" s="58" t="str"/>
      <x:c r="D104" s="58" t="str"/>
      <x:c r="E104" s="58" t="str"/>
      <x:c r="F104" s="70"/>
      <x:c r="G104" s="58" t="str"/>
      <x:c r="H104" s="58"/>
      <x:c r="I104" s="58"/>
      <x:c r="J104" s="58"/>
      <x:c r="K104" s="71"/>
      <x:c r="L104" s="71"/>
      <x:c r="M104" s="58" t="str"/>
      <x:c r="N104" s="58" t="str"/>
    </x:row>
    <x:row r="105">
      <x:c r="A105" s="58" t="str"/>
      <x:c r="B105" s="58" t="str"/>
      <x:c r="C105" s="58" t="str"/>
      <x:c r="D105" s="58" t="str"/>
      <x:c r="E105" s="58" t="str"/>
      <x:c r="F105" s="70"/>
      <x:c r="G105" s="58" t="str"/>
      <x:c r="H105" s="58"/>
      <x:c r="I105" s="58"/>
      <x:c r="J105" s="58"/>
      <x:c r="K105" s="71"/>
      <x:c r="L105" s="71"/>
      <x:c r="M105" s="58" t="str"/>
      <x:c r="N105" s="58" t="str"/>
    </x:row>
    <x:row r="106">
      <x:c r="A106" s="58" t="str"/>
      <x:c r="B106" s="58" t="str"/>
      <x:c r="C106" s="58" t="str"/>
      <x:c r="D106" s="58" t="str"/>
      <x:c r="E106" s="58" t="str"/>
      <x:c r="F106" s="70"/>
      <x:c r="G106" s="58" t="str"/>
      <x:c r="H106" s="58"/>
      <x:c r="I106" s="58"/>
      <x:c r="J106" s="58"/>
      <x:c r="K106" s="71"/>
      <x:c r="L106" s="71"/>
      <x:c r="M106" s="58" t="str"/>
      <x:c r="N106" s="58" t="str"/>
    </x:row>
    <x:row r="107">
      <x:c r="A107" s="58" t="str"/>
      <x:c r="B107" s="58" t="str"/>
      <x:c r="C107" s="58" t="str"/>
      <x:c r="D107" s="58" t="str"/>
      <x:c r="E107" s="58" t="str"/>
      <x:c r="F107" s="70"/>
      <x:c r="G107" s="58" t="str"/>
      <x:c r="H107" s="58"/>
      <x:c r="I107" s="58"/>
      <x:c r="J107" s="58"/>
      <x:c r="K107" s="71"/>
      <x:c r="L107" s="71"/>
      <x:c r="M107" s="58" t="str"/>
      <x:c r="N107" s="58" t="str"/>
    </x:row>
    <x:row r="108">
      <x:c r="A108" s="58" t="str"/>
      <x:c r="B108" s="58" t="str"/>
      <x:c r="C108" s="58" t="str"/>
      <x:c r="D108" s="58" t="str"/>
      <x:c r="E108" s="58" t="str"/>
      <x:c r="F108" s="70"/>
      <x:c r="G108" s="58" t="str"/>
      <x:c r="H108" s="58"/>
      <x:c r="I108" s="58"/>
      <x:c r="J108" s="58"/>
      <x:c r="K108" s="71"/>
      <x:c r="L108" s="71"/>
      <x:c r="M108" s="58" t="str"/>
      <x:c r="N108" s="58" t="str"/>
    </x:row>
    <x:row r="109">
      <x:c r="A109" s="58" t="str"/>
      <x:c r="B109" s="58" t="str"/>
      <x:c r="C109" s="58" t="str"/>
      <x:c r="D109" s="58" t="str"/>
      <x:c r="E109" s="58" t="str"/>
      <x:c r="F109" s="70"/>
      <x:c r="G109" s="58" t="str"/>
      <x:c r="H109" s="58"/>
      <x:c r="I109" s="58"/>
      <x:c r="J109" s="58"/>
      <x:c r="K109" s="71"/>
      <x:c r="L109" s="71"/>
      <x:c r="M109" s="58" t="str"/>
      <x:c r="N109" s="58" t="str"/>
    </x:row>
    <x:row r="110">
      <x:c r="A110" s="58" t="str"/>
      <x:c r="B110" s="58" t="str"/>
      <x:c r="C110" s="58" t="str"/>
      <x:c r="D110" s="58" t="str"/>
      <x:c r="E110" s="58" t="str"/>
      <x:c r="F110" s="70"/>
      <x:c r="G110" s="58" t="str"/>
      <x:c r="H110" s="58"/>
      <x:c r="I110" s="58"/>
      <x:c r="J110" s="58"/>
      <x:c r="K110" s="71"/>
      <x:c r="L110" s="71"/>
      <x:c r="M110" s="58" t="str"/>
      <x:c r="N110" s="58" t="str"/>
    </x:row>
    <x:row r="111">
      <x:c r="A111" s="58" t="str"/>
      <x:c r="B111" s="58" t="str"/>
      <x:c r="C111" s="58" t="str"/>
      <x:c r="D111" s="58" t="str"/>
      <x:c r="E111" s="58" t="str"/>
      <x:c r="F111" s="70"/>
      <x:c r="G111" s="58" t="str"/>
      <x:c r="H111" s="58"/>
      <x:c r="I111" s="58"/>
      <x:c r="J111" s="58"/>
      <x:c r="K111" s="71"/>
      <x:c r="L111" s="71"/>
      <x:c r="M111" s="58" t="str"/>
      <x:c r="N111" s="58" t="str"/>
    </x:row>
    <x:row r="112">
      <x:c r="A112" s="58" t="str"/>
      <x:c r="B112" s="58" t="str"/>
      <x:c r="C112" s="58" t="str"/>
      <x:c r="D112" s="58" t="str"/>
      <x:c r="E112" s="58" t="str"/>
      <x:c r="F112" s="70"/>
      <x:c r="G112" s="58" t="str"/>
      <x:c r="H112" s="58"/>
      <x:c r="I112" s="58"/>
      <x:c r="J112" s="58"/>
      <x:c r="K112" s="71"/>
      <x:c r="L112" s="71"/>
      <x:c r="M112" s="58" t="str"/>
      <x:c r="N112" s="58" t="str"/>
    </x:row>
    <x:row r="113">
      <x:c r="A113" s="58" t="str"/>
      <x:c r="B113" s="58" t="str"/>
      <x:c r="C113" s="58" t="str"/>
      <x:c r="D113" s="58" t="str"/>
      <x:c r="E113" s="58" t="str"/>
      <x:c r="F113" s="70"/>
      <x:c r="G113" s="58" t="str"/>
      <x:c r="H113" s="58"/>
      <x:c r="I113" s="58"/>
      <x:c r="J113" s="58"/>
      <x:c r="K113" s="71"/>
      <x:c r="L113" s="71"/>
      <x:c r="M113" s="58" t="str"/>
      <x:c r="N113" s="58" t="str"/>
    </x:row>
    <x:row r="114">
      <x:c r="A114" s="58" t="str"/>
      <x:c r="B114" s="58" t="str"/>
      <x:c r="C114" s="58" t="str"/>
      <x:c r="D114" s="58" t="str"/>
      <x:c r="E114" s="58" t="str"/>
      <x:c r="F114" s="70"/>
      <x:c r="G114" s="58" t="str"/>
      <x:c r="H114" s="58"/>
      <x:c r="I114" s="58"/>
      <x:c r="J114" s="58"/>
      <x:c r="K114" s="71"/>
      <x:c r="L114" s="71"/>
      <x:c r="M114" s="58" t="str"/>
      <x:c r="N114" s="58" t="str"/>
    </x:row>
    <x:row r="115">
      <x:c r="A115" s="58" t="str"/>
      <x:c r="B115" s="58" t="str"/>
      <x:c r="C115" s="58" t="str"/>
      <x:c r="D115" s="58" t="str"/>
      <x:c r="E115" s="58" t="str"/>
      <x:c r="F115" s="70"/>
      <x:c r="G115" s="58" t="str"/>
      <x:c r="H115" s="58"/>
      <x:c r="I115" s="58"/>
      <x:c r="J115" s="58"/>
      <x:c r="K115" s="71"/>
      <x:c r="L115" s="71"/>
      <x:c r="M115" s="58" t="str"/>
      <x:c r="N115" s="58" t="str"/>
    </x:row>
    <x:row r="116">
      <x:c r="A116" s="58" t="str"/>
      <x:c r="B116" s="58" t="str"/>
      <x:c r="C116" s="58" t="str"/>
      <x:c r="D116" s="58" t="str"/>
      <x:c r="E116" s="58" t="str"/>
      <x:c r="F116" s="70"/>
      <x:c r="G116" s="58" t="str"/>
      <x:c r="H116" s="58"/>
      <x:c r="I116" s="58"/>
      <x:c r="J116" s="58"/>
      <x:c r="K116" s="71"/>
      <x:c r="L116" s="71"/>
      <x:c r="M116" s="58" t="str"/>
      <x:c r="N116" s="58" t="str"/>
    </x:row>
    <x:row r="117">
      <x:c r="A117" s="58" t="str"/>
      <x:c r="B117" s="58" t="str"/>
      <x:c r="C117" s="58" t="str"/>
      <x:c r="D117" s="58" t="str"/>
      <x:c r="E117" s="58" t="str"/>
      <x:c r="F117" s="70"/>
      <x:c r="G117" s="58" t="str"/>
      <x:c r="H117" s="58"/>
      <x:c r="I117" s="58"/>
      <x:c r="J117" s="58"/>
      <x:c r="K117" s="71"/>
      <x:c r="L117" s="71"/>
      <x:c r="M117" s="58" t="str"/>
      <x:c r="N117" s="58" t="str"/>
    </x:row>
    <x:row r="118">
      <x:c r="A118" s="58" t="str"/>
      <x:c r="B118" s="58" t="str"/>
      <x:c r="C118" s="58" t="str"/>
      <x:c r="D118" s="58" t="str"/>
      <x:c r="E118" s="58" t="str"/>
      <x:c r="F118" s="70"/>
      <x:c r="G118" s="58" t="str"/>
      <x:c r="H118" s="58"/>
      <x:c r="I118" s="58"/>
      <x:c r="J118" s="58"/>
      <x:c r="K118" s="71"/>
      <x:c r="L118" s="71"/>
      <x:c r="M118" s="58" t="str"/>
      <x:c r="N118" s="58" t="str"/>
    </x:row>
    <x:row r="119">
      <x:c r="A119" s="58" t="str"/>
      <x:c r="B119" s="58" t="str"/>
      <x:c r="C119" s="58" t="str"/>
      <x:c r="D119" s="58" t="str"/>
      <x:c r="E119" s="58" t="str"/>
      <x:c r="F119" s="70"/>
      <x:c r="G119" s="58" t="str"/>
      <x:c r="H119" s="58"/>
      <x:c r="I119" s="58"/>
      <x:c r="J119" s="58"/>
      <x:c r="K119" s="71"/>
      <x:c r="L119" s="71"/>
      <x:c r="M119" s="58" t="str"/>
      <x:c r="N119" s="58" t="str"/>
    </x:row>
    <x:row r="120">
      <x:c r="A120" s="58" t="str"/>
      <x:c r="B120" s="58" t="str"/>
      <x:c r="C120" s="58" t="str"/>
      <x:c r="D120" s="58" t="str"/>
      <x:c r="E120" s="58" t="str"/>
      <x:c r="F120" s="70"/>
      <x:c r="G120" s="58" t="str"/>
      <x:c r="H120" s="58"/>
      <x:c r="I120" s="58"/>
      <x:c r="J120" s="58"/>
      <x:c r="K120" s="71"/>
      <x:c r="L120" s="71"/>
      <x:c r="M120" s="58" t="str"/>
      <x:c r="N120" s="58" t="str"/>
    </x:row>
    <x:row r="121">
      <x:c r="A121" s="58" t="str"/>
      <x:c r="B121" s="58" t="str"/>
      <x:c r="C121" s="58" t="str"/>
      <x:c r="D121" s="58" t="str"/>
      <x:c r="E121" s="58" t="str"/>
      <x:c r="F121" s="70"/>
      <x:c r="G121" s="58" t="str"/>
      <x:c r="H121" s="58"/>
      <x:c r="I121" s="58"/>
      <x:c r="J121" s="58"/>
      <x:c r="K121" s="71"/>
      <x:c r="L121" s="71"/>
      <x:c r="M121" s="58" t="str"/>
      <x:c r="N121" s="58" t="str"/>
    </x:row>
    <x:row r="122">
      <x:c r="A122" s="58" t="str"/>
      <x:c r="B122" s="58" t="str"/>
      <x:c r="C122" s="58" t="str"/>
      <x:c r="D122" s="58" t="str"/>
      <x:c r="E122" s="58" t="str"/>
      <x:c r="F122" s="70"/>
      <x:c r="G122" s="58" t="str"/>
      <x:c r="H122" s="58"/>
      <x:c r="I122" s="58"/>
      <x:c r="J122" s="58"/>
      <x:c r="K122" s="71"/>
      <x:c r="L122" s="71"/>
      <x:c r="M122" s="58" t="str"/>
      <x:c r="N122" s="58" t="str"/>
    </x:row>
    <x:row r="123">
      <x:c r="A123" s="58" t="str"/>
      <x:c r="B123" s="58" t="str"/>
      <x:c r="C123" s="58" t="str"/>
      <x:c r="D123" s="58" t="str"/>
      <x:c r="E123" s="58" t="str"/>
      <x:c r="F123" s="70"/>
      <x:c r="G123" s="58" t="str"/>
      <x:c r="H123" s="58"/>
      <x:c r="I123" s="58"/>
      <x:c r="J123" s="58"/>
      <x:c r="K123" s="71"/>
      <x:c r="L123" s="71"/>
      <x:c r="M123" s="58" t="str"/>
      <x:c r="N123" s="58" t="str"/>
    </x:row>
    <x:row r="124">
      <x:c r="A124" s="58" t="str"/>
      <x:c r="B124" s="58" t="str"/>
      <x:c r="C124" s="58" t="str"/>
      <x:c r="D124" s="58" t="str"/>
      <x:c r="E124" s="58" t="str"/>
      <x:c r="F124" s="70"/>
      <x:c r="G124" s="58" t="str"/>
      <x:c r="H124" s="58"/>
      <x:c r="I124" s="58"/>
      <x:c r="J124" s="58"/>
      <x:c r="K124" s="71"/>
      <x:c r="L124" s="71"/>
      <x:c r="M124" s="58" t="str"/>
      <x:c r="N124" s="58" t="str"/>
    </x:row>
    <x:row r="125">
      <x:c r="A125" s="58" t="str"/>
      <x:c r="B125" s="58" t="str"/>
      <x:c r="C125" s="58" t="str"/>
      <x:c r="D125" s="58" t="str"/>
      <x:c r="E125" s="58" t="str"/>
      <x:c r="F125" s="70"/>
      <x:c r="G125" s="58" t="str"/>
      <x:c r="H125" s="58"/>
      <x:c r="I125" s="58"/>
      <x:c r="J125" s="58"/>
      <x:c r="K125" s="71"/>
      <x:c r="L125" s="71"/>
      <x:c r="M125" s="58" t="str"/>
      <x:c r="N125" s="58" t="str"/>
    </x:row>
    <x:row r="126">
      <x:c r="A126" s="58" t="str"/>
      <x:c r="B126" s="58" t="str"/>
      <x:c r="C126" s="58" t="str"/>
      <x:c r="D126" s="58" t="str"/>
      <x:c r="E126" s="58" t="str"/>
      <x:c r="F126" s="70"/>
      <x:c r="G126" s="58" t="str"/>
      <x:c r="H126" s="58"/>
      <x:c r="I126" s="58"/>
      <x:c r="J126" s="58"/>
      <x:c r="K126" s="71"/>
      <x:c r="L126" s="71"/>
      <x:c r="M126" s="58" t="str"/>
      <x:c r="N126" s="58" t="str"/>
    </x:row>
    <x:row r="127">
      <x:c r="A127" s="58" t="str"/>
      <x:c r="B127" s="58" t="str"/>
      <x:c r="C127" s="58" t="str"/>
      <x:c r="D127" s="58" t="str"/>
      <x:c r="E127" s="58" t="str"/>
      <x:c r="F127" s="70"/>
      <x:c r="G127" s="58" t="str"/>
      <x:c r="H127" s="58"/>
      <x:c r="I127" s="58"/>
      <x:c r="J127" s="58"/>
      <x:c r="K127" s="71"/>
      <x:c r="L127" s="71"/>
      <x:c r="M127" s="58" t="str"/>
      <x:c r="N127" s="58" t="str"/>
    </x:row>
    <x:row r="128">
      <x:c r="A128" s="58" t="str"/>
      <x:c r="B128" s="58" t="str"/>
      <x:c r="C128" s="58" t="str"/>
      <x:c r="D128" s="58" t="str"/>
      <x:c r="E128" s="58" t="str"/>
      <x:c r="F128" s="70"/>
      <x:c r="G128" s="58" t="str"/>
      <x:c r="H128" s="58"/>
      <x:c r="I128" s="58"/>
      <x:c r="J128" s="58"/>
      <x:c r="K128" s="71"/>
      <x:c r="L128" s="71"/>
      <x:c r="M128" s="58" t="str"/>
      <x:c r="N128" s="58" t="str"/>
    </x:row>
    <x:row r="129">
      <x:c r="A129" s="58" t="str"/>
      <x:c r="B129" s="58" t="str"/>
      <x:c r="C129" s="58" t="str"/>
      <x:c r="D129" s="58" t="str"/>
      <x:c r="E129" s="58" t="str"/>
      <x:c r="F129" s="70"/>
      <x:c r="G129" s="58" t="str"/>
      <x:c r="H129" s="58"/>
      <x:c r="I129" s="58"/>
      <x:c r="J129" s="58"/>
      <x:c r="K129" s="71"/>
      <x:c r="L129" s="71"/>
      <x:c r="M129" s="58" t="str"/>
      <x:c r="N129" s="58" t="str"/>
    </x:row>
    <x:row r="130">
      <x:c r="A130" s="58" t="str"/>
      <x:c r="B130" s="58" t="str"/>
      <x:c r="C130" s="58" t="str"/>
      <x:c r="D130" s="58" t="str"/>
      <x:c r="E130" s="58" t="str"/>
      <x:c r="F130" s="70"/>
      <x:c r="G130" s="58" t="str"/>
      <x:c r="H130" s="58"/>
      <x:c r="I130" s="58"/>
      <x:c r="J130" s="58"/>
      <x:c r="K130" s="71"/>
      <x:c r="L130" s="71"/>
      <x:c r="M130" s="58" t="str"/>
      <x:c r="N130" s="58" t="str"/>
    </x:row>
    <x:row r="131">
      <x:c r="A131" s="58" t="str"/>
      <x:c r="B131" s="58" t="str"/>
      <x:c r="C131" s="58" t="str"/>
      <x:c r="D131" s="58" t="str"/>
      <x:c r="E131" s="58" t="str"/>
      <x:c r="F131" s="70"/>
      <x:c r="G131" s="58" t="str"/>
      <x:c r="H131" s="58"/>
      <x:c r="I131" s="58"/>
      <x:c r="J131" s="58"/>
      <x:c r="K131" s="71"/>
      <x:c r="L131" s="71"/>
      <x:c r="M131" s="58" t="str"/>
      <x:c r="N131" s="58" t="str"/>
    </x:row>
    <x:row r="132">
      <x:c r="A132" s="58" t="str"/>
      <x:c r="B132" s="58" t="str"/>
      <x:c r="C132" s="58" t="str"/>
      <x:c r="D132" s="58" t="str"/>
      <x:c r="E132" s="58" t="str"/>
      <x:c r="F132" s="70"/>
      <x:c r="G132" s="58" t="str"/>
      <x:c r="H132" s="58"/>
      <x:c r="I132" s="58"/>
      <x:c r="J132" s="58"/>
      <x:c r="K132" s="71"/>
      <x:c r="L132" s="71"/>
      <x:c r="M132" s="58" t="str"/>
      <x:c r="N132" s="58" t="str"/>
    </x:row>
    <x:row r="133">
      <x:c r="A133" s="58" t="str"/>
      <x:c r="B133" s="58" t="str"/>
      <x:c r="C133" s="58" t="str"/>
      <x:c r="D133" s="58" t="str"/>
      <x:c r="E133" s="58" t="str"/>
      <x:c r="F133" s="70"/>
      <x:c r="G133" s="58" t="str"/>
      <x:c r="H133" s="58"/>
      <x:c r="I133" s="58"/>
      <x:c r="J133" s="58"/>
      <x:c r="K133" s="71"/>
      <x:c r="L133" s="71"/>
      <x:c r="M133" s="58" t="str"/>
      <x:c r="N133" s="58" t="str"/>
    </x:row>
    <x:row r="134">
      <x:c r="A134" s="58" t="str"/>
      <x:c r="B134" s="58" t="str"/>
      <x:c r="C134" s="58" t="str"/>
      <x:c r="D134" s="58" t="str"/>
      <x:c r="E134" s="58" t="str"/>
      <x:c r="F134" s="70"/>
      <x:c r="G134" s="58" t="str"/>
      <x:c r="H134" s="58"/>
      <x:c r="I134" s="58"/>
      <x:c r="J134" s="58"/>
      <x:c r="K134" s="71"/>
      <x:c r="L134" s="71"/>
      <x:c r="M134" s="58" t="str"/>
      <x:c r="N134" s="58" t="str"/>
    </x:row>
    <x:row r="135">
      <x:c r="A135" s="58" t="str"/>
      <x:c r="B135" s="58" t="str"/>
      <x:c r="C135" s="58" t="str"/>
      <x:c r="D135" s="58" t="str"/>
      <x:c r="E135" s="58" t="str"/>
      <x:c r="F135" s="70"/>
      <x:c r="G135" s="58" t="str"/>
      <x:c r="H135" s="58"/>
      <x:c r="I135" s="58"/>
      <x:c r="J135" s="58"/>
      <x:c r="K135" s="71"/>
      <x:c r="L135" s="71"/>
      <x:c r="M135" s="58" t="str"/>
      <x:c r="N135" s="58" t="str"/>
    </x:row>
    <x:row r="136">
      <x:c r="A136" s="58" t="str"/>
      <x:c r="B136" s="58" t="str"/>
      <x:c r="C136" s="58" t="str"/>
      <x:c r="D136" s="58" t="str"/>
      <x:c r="E136" s="58" t="str"/>
      <x:c r="F136" s="70"/>
      <x:c r="G136" s="58" t="str"/>
      <x:c r="H136" s="58"/>
      <x:c r="I136" s="58"/>
      <x:c r="J136" s="58"/>
      <x:c r="K136" s="71"/>
      <x:c r="L136" s="71"/>
      <x:c r="M136" s="58" t="str"/>
      <x:c r="N136" s="58" t="str"/>
    </x:row>
    <x:row r="137">
      <x:c r="A137" s="58" t="str"/>
      <x:c r="B137" s="58" t="str"/>
      <x:c r="C137" s="58" t="str"/>
      <x:c r="D137" s="58" t="str"/>
      <x:c r="E137" s="58" t="str"/>
      <x:c r="F137" s="70"/>
      <x:c r="G137" s="58" t="str"/>
      <x:c r="H137" s="58"/>
      <x:c r="I137" s="58"/>
      <x:c r="J137" s="58"/>
      <x:c r="K137" s="71"/>
      <x:c r="L137" s="71"/>
      <x:c r="M137" s="58" t="str"/>
      <x:c r="N137" s="58" t="str"/>
    </x:row>
    <x:row r="138">
      <x:c r="A138" s="58" t="str"/>
      <x:c r="B138" s="58" t="str"/>
      <x:c r="C138" s="58" t="str"/>
      <x:c r="D138" s="58" t="str"/>
      <x:c r="E138" s="58" t="str"/>
      <x:c r="F138" s="70"/>
      <x:c r="G138" s="58" t="str"/>
      <x:c r="H138" s="58"/>
      <x:c r="I138" s="58"/>
      <x:c r="J138" s="58"/>
      <x:c r="K138" s="71"/>
      <x:c r="L138" s="71"/>
      <x:c r="M138" s="58" t="str"/>
      <x:c r="N138" s="58" t="str"/>
    </x:row>
    <x:row r="139">
      <x:c r="A139" s="58" t="str"/>
      <x:c r="B139" s="58" t="str"/>
      <x:c r="C139" s="58" t="str"/>
      <x:c r="D139" s="58" t="str"/>
      <x:c r="E139" s="58" t="str"/>
      <x:c r="F139" s="70"/>
      <x:c r="G139" s="58" t="str"/>
      <x:c r="H139" s="58"/>
      <x:c r="I139" s="58"/>
      <x:c r="J139" s="58"/>
      <x:c r="K139" s="71"/>
      <x:c r="L139" s="71"/>
      <x:c r="M139" s="58" t="str"/>
      <x:c r="N139" s="58" t="str"/>
    </x:row>
    <x:row r="140">
      <x:c r="A140" s="58" t="str"/>
      <x:c r="B140" s="58" t="str"/>
      <x:c r="C140" s="58" t="str"/>
      <x:c r="D140" s="58" t="str"/>
      <x:c r="E140" s="58" t="str"/>
      <x:c r="F140" s="70"/>
      <x:c r="G140" s="58" t="str"/>
      <x:c r="H140" s="58"/>
      <x:c r="I140" s="58"/>
      <x:c r="J140" s="58"/>
      <x:c r="K140" s="71"/>
      <x:c r="L140" s="71"/>
      <x:c r="M140" s="58" t="str"/>
      <x:c r="N140" s="58" t="str"/>
    </x:row>
    <x:row r="141">
      <x:c r="A141" s="58" t="str"/>
      <x:c r="B141" s="58" t="str"/>
      <x:c r="C141" s="58" t="str"/>
      <x:c r="D141" s="58" t="str"/>
      <x:c r="E141" s="58" t="str"/>
      <x:c r="F141" s="70"/>
      <x:c r="G141" s="58" t="str"/>
      <x:c r="H141" s="58"/>
      <x:c r="I141" s="58"/>
      <x:c r="J141" s="58"/>
      <x:c r="K141" s="71"/>
      <x:c r="L141" s="71"/>
      <x:c r="M141" s="58" t="str"/>
      <x:c r="N141" s="58" t="str"/>
    </x:row>
    <x:row r="142">
      <x:c r="A142" s="58" t="str"/>
      <x:c r="B142" s="58" t="str"/>
      <x:c r="C142" s="58" t="str"/>
      <x:c r="D142" s="58" t="str"/>
      <x:c r="E142" s="58" t="str"/>
      <x:c r="F142" s="70"/>
      <x:c r="G142" s="58" t="str"/>
      <x:c r="H142" s="58"/>
      <x:c r="I142" s="58"/>
      <x:c r="J142" s="58"/>
      <x:c r="K142" s="71"/>
      <x:c r="L142" s="71"/>
      <x:c r="M142" s="58" t="str"/>
      <x:c r="N142" s="58" t="str"/>
    </x:row>
    <x:row r="143">
      <x:c r="A143" s="58" t="str"/>
      <x:c r="B143" s="58" t="str"/>
      <x:c r="C143" s="58" t="str"/>
      <x:c r="D143" s="58" t="str"/>
      <x:c r="E143" s="58" t="str"/>
      <x:c r="F143" s="70"/>
      <x:c r="G143" s="58" t="str"/>
      <x:c r="H143" s="58"/>
      <x:c r="I143" s="58"/>
      <x:c r="J143" s="58"/>
      <x:c r="K143" s="71"/>
      <x:c r="L143" s="71"/>
      <x:c r="M143" s="58" t="str"/>
      <x:c r="N143" s="58" t="str"/>
    </x:row>
    <x:row r="144">
      <x:c r="A144" s="58" t="str"/>
      <x:c r="B144" s="58" t="str"/>
      <x:c r="C144" s="58" t="str"/>
      <x:c r="D144" s="58" t="str"/>
      <x:c r="E144" s="58" t="str"/>
      <x:c r="F144" s="70"/>
      <x:c r="G144" s="58" t="str"/>
      <x:c r="H144" s="58"/>
      <x:c r="I144" s="58"/>
      <x:c r="J144" s="58"/>
      <x:c r="K144" s="71"/>
      <x:c r="L144" s="71"/>
      <x:c r="M144" s="58" t="str"/>
      <x:c r="N144" s="58" t="str"/>
    </x:row>
    <x:row r="145">
      <x:c r="A145" s="58" t="str"/>
      <x:c r="B145" s="58" t="str"/>
      <x:c r="C145" s="58" t="str"/>
      <x:c r="D145" s="58" t="str"/>
      <x:c r="E145" s="58" t="str"/>
      <x:c r="F145" s="70"/>
      <x:c r="G145" s="58" t="str"/>
      <x:c r="H145" s="58"/>
      <x:c r="I145" s="58"/>
      <x:c r="J145" s="58"/>
      <x:c r="K145" s="71"/>
      <x:c r="L145" s="71"/>
      <x:c r="M145" s="58" t="str"/>
      <x:c r="N145" s="58" t="str"/>
    </x:row>
    <x:row r="146">
      <x:c r="A146" s="58" t="str"/>
      <x:c r="B146" s="58" t="str"/>
      <x:c r="C146" s="58" t="str"/>
      <x:c r="D146" s="58" t="str"/>
      <x:c r="E146" s="58" t="str"/>
      <x:c r="F146" s="70"/>
      <x:c r="G146" s="58" t="str"/>
      <x:c r="H146" s="58"/>
      <x:c r="I146" s="58"/>
      <x:c r="J146" s="58"/>
      <x:c r="K146" s="71"/>
      <x:c r="L146" s="71"/>
      <x:c r="M146" s="58" t="str"/>
      <x:c r="N146" s="58" t="str"/>
    </x:row>
    <x:row r="147">
      <x:c r="A147" s="58" t="str"/>
      <x:c r="B147" s="58" t="str"/>
      <x:c r="C147" s="58" t="str"/>
      <x:c r="D147" s="58" t="str"/>
      <x:c r="E147" s="58" t="str"/>
      <x:c r="F147" s="70"/>
      <x:c r="G147" s="58" t="str"/>
      <x:c r="H147" s="58"/>
      <x:c r="I147" s="58"/>
      <x:c r="J147" s="58"/>
      <x:c r="K147" s="71"/>
      <x:c r="L147" s="71"/>
      <x:c r="M147" s="58" t="str"/>
      <x:c r="N147" s="58" t="str"/>
    </x:row>
    <x:row r="148">
      <x:c r="A148" s="58" t="str"/>
      <x:c r="B148" s="58" t="str"/>
      <x:c r="C148" s="58" t="str"/>
      <x:c r="D148" s="58" t="str"/>
      <x:c r="E148" s="58" t="str"/>
      <x:c r="F148" s="70"/>
      <x:c r="G148" s="58" t="str"/>
      <x:c r="H148" s="58"/>
      <x:c r="I148" s="58"/>
      <x:c r="J148" s="58"/>
      <x:c r="K148" s="71"/>
      <x:c r="L148" s="71"/>
      <x:c r="M148" s="58" t="str"/>
      <x:c r="N148" s="58" t="str"/>
    </x:row>
    <x:row r="149">
      <x:c r="A149" s="58" t="str"/>
      <x:c r="B149" s="58" t="str"/>
      <x:c r="C149" s="58" t="str"/>
      <x:c r="D149" s="58" t="str"/>
      <x:c r="E149" s="58" t="str"/>
      <x:c r="F149" s="70"/>
      <x:c r="G149" s="58" t="str"/>
      <x:c r="H149" s="58"/>
      <x:c r="I149" s="58"/>
      <x:c r="J149" s="58"/>
      <x:c r="K149" s="71"/>
      <x:c r="L149" s="71"/>
      <x:c r="M149" s="58" t="str"/>
      <x:c r="N149" s="58" t="str"/>
    </x:row>
    <x:row r="150">
      <x:c r="A150" s="58" t="str"/>
      <x:c r="B150" s="58" t="str"/>
      <x:c r="C150" s="58" t="str"/>
      <x:c r="D150" s="58" t="str"/>
      <x:c r="E150" s="58" t="str"/>
      <x:c r="F150" s="70"/>
      <x:c r="G150" s="58" t="str"/>
      <x:c r="H150" s="58"/>
      <x:c r="I150" s="58"/>
      <x:c r="J150" s="58"/>
      <x:c r="K150" s="71"/>
      <x:c r="L150" s="71"/>
      <x:c r="M150" s="58" t="str"/>
      <x:c r="N150" s="58" t="str"/>
    </x:row>
    <x:row r="151">
      <x:c r="A151" s="58" t="str"/>
      <x:c r="B151" s="58" t="str"/>
      <x:c r="C151" s="58" t="str"/>
      <x:c r="D151" s="58" t="str"/>
      <x:c r="E151" s="58" t="str"/>
      <x:c r="F151" s="70"/>
      <x:c r="G151" s="58" t="str"/>
      <x:c r="H151" s="58"/>
      <x:c r="I151" s="58"/>
      <x:c r="J151" s="58"/>
      <x:c r="K151" s="71"/>
      <x:c r="L151" s="71"/>
      <x:c r="M151" s="58" t="str"/>
      <x:c r="N151" s="58" t="str"/>
    </x:row>
    <x:row r="152">
      <x:c r="A152" s="58" t="str"/>
      <x:c r="B152" s="58" t="str"/>
      <x:c r="C152" s="58" t="str"/>
      <x:c r="D152" s="58" t="str"/>
      <x:c r="E152" s="58" t="str"/>
      <x:c r="F152" s="70"/>
      <x:c r="G152" s="58" t="str"/>
      <x:c r="H152" s="58"/>
      <x:c r="I152" s="58"/>
      <x:c r="J152" s="58"/>
      <x:c r="K152" s="71"/>
      <x:c r="L152" s="71"/>
      <x:c r="M152" s="58" t="str"/>
      <x:c r="N152" s="58" t="str"/>
    </x:row>
    <x:row r="153">
      <x:c r="A153" s="58" t="str"/>
      <x:c r="B153" s="58" t="str"/>
      <x:c r="C153" s="58" t="str"/>
      <x:c r="D153" s="58" t="str"/>
      <x:c r="E153" s="58" t="str"/>
      <x:c r="F153" s="70"/>
      <x:c r="G153" s="58" t="str"/>
      <x:c r="H153" s="58"/>
      <x:c r="I153" s="58"/>
      <x:c r="J153" s="58"/>
      <x:c r="K153" s="71"/>
      <x:c r="L153" s="71"/>
      <x:c r="M153" s="58" t="str"/>
      <x:c r="N153" s="58" t="str"/>
    </x:row>
    <x:row r="154">
      <x:c r="A154" s="58" t="str"/>
      <x:c r="B154" s="58" t="str"/>
      <x:c r="C154" s="58" t="str"/>
      <x:c r="D154" s="58" t="str"/>
      <x:c r="E154" s="58" t="str"/>
      <x:c r="F154" s="70"/>
      <x:c r="G154" s="58" t="str"/>
      <x:c r="H154" s="58"/>
      <x:c r="I154" s="58"/>
      <x:c r="J154" s="58"/>
      <x:c r="K154" s="71"/>
      <x:c r="L154" s="71"/>
      <x:c r="M154" s="58" t="str"/>
      <x:c r="N154" s="58" t="str"/>
    </x:row>
    <x:row r="155">
      <x:c r="A155" s="58" t="str"/>
      <x:c r="B155" s="58" t="str"/>
      <x:c r="C155" s="58" t="str"/>
      <x:c r="D155" s="58" t="str"/>
      <x:c r="E155" s="58" t="str"/>
      <x:c r="F155" s="70"/>
      <x:c r="G155" s="58" t="str"/>
      <x:c r="H155" s="58"/>
      <x:c r="I155" s="58"/>
      <x:c r="J155" s="58"/>
      <x:c r="K155" s="71"/>
      <x:c r="L155" s="71"/>
      <x:c r="M155" s="58" t="str"/>
      <x:c r="N155" s="58" t="str"/>
    </x:row>
    <x:row r="156">
      <x:c r="A156" s="58" t="str"/>
      <x:c r="B156" s="58" t="str"/>
      <x:c r="C156" s="58" t="str"/>
      <x:c r="D156" s="58" t="str"/>
      <x:c r="E156" s="58" t="str"/>
      <x:c r="F156" s="70"/>
      <x:c r="G156" s="58" t="str"/>
      <x:c r="H156" s="58"/>
      <x:c r="I156" s="58"/>
      <x:c r="J156" s="58"/>
      <x:c r="K156" s="71"/>
      <x:c r="L156" s="71"/>
      <x:c r="M156" s="58" t="str"/>
      <x:c r="N156" s="58" t="str"/>
    </x:row>
    <x:row r="157">
      <x:c r="A157" s="58" t="str"/>
      <x:c r="B157" s="58" t="str"/>
      <x:c r="C157" s="58" t="str"/>
      <x:c r="D157" s="58" t="str"/>
      <x:c r="E157" s="58" t="str"/>
      <x:c r="F157" s="70"/>
      <x:c r="G157" s="58" t="str"/>
      <x:c r="H157" s="58"/>
      <x:c r="I157" s="58"/>
      <x:c r="J157" s="58"/>
      <x:c r="K157" s="71"/>
      <x:c r="L157" s="71"/>
      <x:c r="M157" s="58" t="str"/>
      <x:c r="N157" s="58" t="str"/>
    </x:row>
    <x:row r="158">
      <x:c r="A158" s="58" t="str"/>
      <x:c r="B158" s="58" t="str"/>
      <x:c r="C158" s="58" t="str"/>
      <x:c r="D158" s="58" t="str"/>
      <x:c r="E158" s="58" t="str"/>
      <x:c r="F158" s="70"/>
      <x:c r="G158" s="58" t="str"/>
      <x:c r="H158" s="58"/>
      <x:c r="I158" s="58"/>
      <x:c r="J158" s="58"/>
      <x:c r="K158" s="71"/>
      <x:c r="L158" s="71"/>
      <x:c r="M158" s="58" t="str"/>
      <x:c r="N158" s="58" t="str"/>
    </x:row>
    <x:row r="159">
      <x:c r="A159" s="58" t="str"/>
      <x:c r="B159" s="58" t="str"/>
      <x:c r="C159" s="58" t="str"/>
      <x:c r="D159" s="58" t="str"/>
      <x:c r="E159" s="58" t="str"/>
      <x:c r="F159" s="70"/>
      <x:c r="G159" s="58" t="str"/>
      <x:c r="H159" s="58"/>
      <x:c r="I159" s="58"/>
      <x:c r="J159" s="58"/>
      <x:c r="K159" s="71"/>
      <x:c r="L159" s="71"/>
      <x:c r="M159" s="58" t="str"/>
      <x:c r="N159" s="58" t="str"/>
    </x:row>
    <x:row r="160">
      <x:c r="A160" s="58" t="str"/>
      <x:c r="B160" s="58" t="str"/>
      <x:c r="C160" s="58" t="str"/>
      <x:c r="D160" s="58" t="str"/>
      <x:c r="E160" s="58" t="str"/>
      <x:c r="F160" s="70"/>
      <x:c r="G160" s="58" t="str"/>
      <x:c r="H160" s="58"/>
      <x:c r="I160" s="58"/>
      <x:c r="J160" s="58"/>
      <x:c r="K160" s="71"/>
      <x:c r="L160" s="71"/>
      <x:c r="M160" s="58" t="str"/>
      <x:c r="N160" s="58" t="str"/>
    </x:row>
    <x:row r="161">
      <x:c r="A161" s="58" t="str"/>
      <x:c r="B161" s="58" t="str"/>
      <x:c r="C161" s="58" t="str"/>
      <x:c r="D161" s="58" t="str"/>
      <x:c r="E161" s="58" t="str"/>
      <x:c r="F161" s="70"/>
      <x:c r="G161" s="58" t="str"/>
      <x:c r="H161" s="58"/>
      <x:c r="I161" s="58"/>
      <x:c r="J161" s="58"/>
      <x:c r="K161" s="71"/>
      <x:c r="L161" s="71"/>
      <x:c r="M161" s="58" t="str"/>
      <x:c r="N161" s="58" t="str"/>
    </x:row>
    <x:row r="162">
      <x:c r="A162" s="58" t="str"/>
      <x:c r="B162" s="58" t="str"/>
      <x:c r="C162" s="58" t="str"/>
      <x:c r="D162" s="58" t="str"/>
      <x:c r="E162" s="58" t="str"/>
      <x:c r="F162" s="70"/>
      <x:c r="G162" s="58" t="str"/>
      <x:c r="H162" s="58"/>
      <x:c r="I162" s="58"/>
      <x:c r="J162" s="58"/>
      <x:c r="K162" s="71"/>
      <x:c r="L162" s="71"/>
      <x:c r="M162" s="58" t="str"/>
      <x:c r="N162" s="58" t="str"/>
    </x:row>
    <x:row r="163">
      <x:c r="A163" s="58" t="str"/>
      <x:c r="B163" s="58" t="str"/>
      <x:c r="C163" s="58" t="str"/>
      <x:c r="D163" s="58" t="str"/>
      <x:c r="E163" s="58" t="str"/>
      <x:c r="F163" s="70"/>
      <x:c r="G163" s="58" t="str"/>
      <x:c r="H163" s="58"/>
      <x:c r="I163" s="58"/>
      <x:c r="J163" s="58"/>
      <x:c r="K163" s="71"/>
      <x:c r="L163" s="71"/>
      <x:c r="M163" s="58" t="str"/>
      <x:c r="N163" s="58" t="str"/>
    </x:row>
    <x:row r="164">
      <x:c r="A164" s="58" t="str"/>
      <x:c r="B164" s="58" t="str"/>
      <x:c r="C164" s="58" t="str"/>
      <x:c r="D164" s="58" t="str"/>
      <x:c r="E164" s="58" t="str"/>
      <x:c r="F164" s="70"/>
      <x:c r="G164" s="58" t="str"/>
      <x:c r="H164" s="58"/>
      <x:c r="I164" s="58"/>
      <x:c r="J164" s="58"/>
      <x:c r="K164" s="71"/>
      <x:c r="L164" s="71"/>
      <x:c r="M164" s="58" t="str"/>
      <x:c r="N164" s="58" t="str"/>
    </x:row>
    <x:row r="165">
      <x:c r="A165" s="58" t="str"/>
      <x:c r="B165" s="58" t="str"/>
      <x:c r="C165" s="58" t="str"/>
      <x:c r="D165" s="58" t="str"/>
      <x:c r="E165" s="58" t="str"/>
      <x:c r="F165" s="70"/>
      <x:c r="G165" s="58" t="str"/>
      <x:c r="H165" s="58"/>
      <x:c r="I165" s="58"/>
      <x:c r="J165" s="58"/>
      <x:c r="K165" s="71"/>
      <x:c r="L165" s="71"/>
      <x:c r="M165" s="58" t="str"/>
      <x:c r="N165" s="58" t="str"/>
    </x:row>
    <x:row r="166">
      <x:c r="A166" s="58" t="str"/>
      <x:c r="B166" s="58" t="str"/>
      <x:c r="C166" s="58" t="str"/>
      <x:c r="D166" s="58" t="str"/>
      <x:c r="E166" s="58" t="str"/>
      <x:c r="F166" s="70"/>
      <x:c r="G166" s="58" t="str"/>
      <x:c r="H166" s="58"/>
      <x:c r="I166" s="58"/>
      <x:c r="J166" s="58"/>
      <x:c r="K166" s="71"/>
      <x:c r="L166" s="71"/>
      <x:c r="M166" s="58" t="str"/>
      <x:c r="N166" s="58" t="str"/>
    </x:row>
    <x:row r="167">
      <x:c r="A167" s="58" t="str"/>
      <x:c r="B167" s="58" t="str"/>
      <x:c r="C167" s="58" t="str"/>
      <x:c r="D167" s="58" t="str"/>
      <x:c r="E167" s="58" t="str"/>
      <x:c r="F167" s="70"/>
      <x:c r="G167" s="58" t="str"/>
      <x:c r="H167" s="58"/>
      <x:c r="I167" s="58"/>
      <x:c r="J167" s="58"/>
      <x:c r="K167" s="71"/>
      <x:c r="L167" s="71"/>
      <x:c r="M167" s="58" t="str"/>
      <x:c r="N167" s="58" t="str"/>
    </x:row>
    <x:row r="168">
      <x:c r="A168" s="58" t="str"/>
      <x:c r="B168" s="58" t="str"/>
      <x:c r="C168" s="58" t="str"/>
      <x:c r="D168" s="58" t="str"/>
      <x:c r="E168" s="58" t="str"/>
      <x:c r="F168" s="70"/>
      <x:c r="G168" s="58" t="str"/>
      <x:c r="H168" s="58"/>
      <x:c r="I168" s="58"/>
      <x:c r="J168" s="58"/>
      <x:c r="K168" s="71"/>
      <x:c r="L168" s="71"/>
      <x:c r="M168" s="58" t="str"/>
      <x:c r="N168" s="58" t="str"/>
    </x:row>
    <x:row r="169">
      <x:c r="A169" s="58" t="str"/>
      <x:c r="B169" s="58" t="str"/>
      <x:c r="C169" s="58" t="str"/>
      <x:c r="D169" s="58" t="str"/>
      <x:c r="E169" s="58" t="str"/>
      <x:c r="F169" s="70"/>
      <x:c r="G169" s="58" t="str"/>
      <x:c r="H169" s="58"/>
      <x:c r="I169" s="58"/>
      <x:c r="J169" s="58"/>
      <x:c r="K169" s="71"/>
      <x:c r="L169" s="71"/>
      <x:c r="M169" s="58" t="str"/>
      <x:c r="N169" s="58" t="str"/>
    </x:row>
    <x:row r="170">
      <x:c r="A170" s="58" t="str"/>
      <x:c r="B170" s="58" t="str"/>
      <x:c r="C170" s="58" t="str"/>
      <x:c r="D170" s="58" t="str"/>
      <x:c r="E170" s="58" t="str"/>
      <x:c r="F170" s="70"/>
      <x:c r="G170" s="58" t="str"/>
      <x:c r="H170" s="58"/>
      <x:c r="I170" s="58"/>
      <x:c r="J170" s="58"/>
      <x:c r="K170" s="71"/>
      <x:c r="L170" s="71"/>
      <x:c r="M170" s="58" t="str"/>
      <x:c r="N170" s="58" t="str"/>
    </x:row>
    <x:row r="171">
      <x:c r="A171" s="58" t="str"/>
      <x:c r="B171" s="58" t="str"/>
      <x:c r="C171" s="58" t="str"/>
      <x:c r="D171" s="58" t="str"/>
      <x:c r="E171" s="58" t="str"/>
      <x:c r="F171" s="70"/>
      <x:c r="G171" s="58" t="str"/>
      <x:c r="H171" s="58"/>
      <x:c r="I171" s="58"/>
      <x:c r="J171" s="58"/>
      <x:c r="K171" s="71"/>
      <x:c r="L171" s="71"/>
      <x:c r="M171" s="58" t="str"/>
      <x:c r="N171" s="58" t="str"/>
    </x:row>
    <x:row r="172">
      <x:c r="A172" s="58" t="str"/>
      <x:c r="B172" s="58" t="str"/>
      <x:c r="C172" s="58" t="str"/>
      <x:c r="D172" s="58" t="str"/>
      <x:c r="E172" s="58" t="str"/>
      <x:c r="F172" s="70"/>
      <x:c r="G172" s="58" t="str"/>
      <x:c r="H172" s="58"/>
      <x:c r="I172" s="58"/>
      <x:c r="J172" s="58"/>
      <x:c r="K172" s="71"/>
      <x:c r="L172" s="71"/>
      <x:c r="M172" s="58" t="str"/>
      <x:c r="N172" s="58" t="str"/>
    </x:row>
    <x:row r="173">
      <x:c r="A173" s="58" t="str"/>
      <x:c r="B173" s="58" t="str"/>
      <x:c r="C173" s="58" t="str"/>
      <x:c r="D173" s="58" t="str"/>
      <x:c r="E173" s="58" t="str"/>
      <x:c r="F173" s="70"/>
      <x:c r="G173" s="58" t="str"/>
      <x:c r="H173" s="58"/>
      <x:c r="I173" s="58"/>
      <x:c r="J173" s="58"/>
      <x:c r="K173" s="71"/>
      <x:c r="L173" s="71"/>
      <x:c r="M173" s="58" t="str"/>
      <x:c r="N173" s="58" t="str"/>
    </x:row>
    <x:row r="174">
      <x:c r="A174" s="58" t="str"/>
      <x:c r="B174" s="58" t="str"/>
      <x:c r="C174" s="58" t="str"/>
      <x:c r="D174" s="58" t="str"/>
      <x:c r="E174" s="58" t="str"/>
      <x:c r="F174" s="70"/>
      <x:c r="G174" s="58" t="str"/>
      <x:c r="H174" s="58"/>
      <x:c r="I174" s="58"/>
      <x:c r="J174" s="58"/>
      <x:c r="K174" s="71"/>
      <x:c r="L174" s="71"/>
      <x:c r="M174" s="58" t="str"/>
      <x:c r="N174" s="58" t="str"/>
    </x:row>
    <x:row r="175">
      <x:c r="A175" s="58" t="str"/>
      <x:c r="B175" s="58" t="str"/>
      <x:c r="C175" s="58" t="str"/>
      <x:c r="D175" s="58" t="str"/>
      <x:c r="E175" s="58" t="str"/>
      <x:c r="F175" s="70"/>
      <x:c r="G175" s="58" t="str"/>
      <x:c r="H175" s="58"/>
      <x:c r="I175" s="58"/>
      <x:c r="J175" s="58"/>
      <x:c r="K175" s="71"/>
      <x:c r="L175" s="71"/>
      <x:c r="M175" s="58" t="str"/>
      <x:c r="N175" s="58" t="str"/>
    </x:row>
    <x:row r="176">
      <x:c r="A176" s="58" t="str"/>
      <x:c r="B176" s="58" t="str"/>
      <x:c r="C176" s="58" t="str"/>
      <x:c r="D176" s="58" t="str"/>
      <x:c r="E176" s="58" t="str"/>
      <x:c r="F176" s="70"/>
      <x:c r="G176" s="58" t="str"/>
      <x:c r="H176" s="58"/>
      <x:c r="I176" s="58"/>
      <x:c r="J176" s="58"/>
      <x:c r="K176" s="71"/>
      <x:c r="L176" s="71"/>
      <x:c r="M176" s="58" t="str"/>
      <x:c r="N176" s="58" t="str"/>
    </x:row>
    <x:row r="177">
      <x:c r="A177" s="58" t="str"/>
      <x:c r="B177" s="58" t="str"/>
      <x:c r="C177" s="58" t="str"/>
      <x:c r="D177" s="58" t="str"/>
      <x:c r="E177" s="58" t="str"/>
      <x:c r="F177" s="70"/>
      <x:c r="G177" s="58" t="str"/>
      <x:c r="H177" s="58"/>
      <x:c r="I177" s="58"/>
      <x:c r="J177" s="58"/>
      <x:c r="K177" s="71"/>
      <x:c r="L177" s="71"/>
      <x:c r="M177" s="58" t="str"/>
      <x:c r="N177" s="58" t="str"/>
    </x:row>
    <x:row r="178">
      <x:c r="A178" s="58" t="str"/>
      <x:c r="B178" s="58" t="str"/>
      <x:c r="C178" s="58" t="str"/>
      <x:c r="D178" s="58" t="str"/>
      <x:c r="E178" s="58" t="str"/>
      <x:c r="F178" s="70"/>
      <x:c r="G178" s="58" t="str"/>
      <x:c r="H178" s="58"/>
      <x:c r="I178" s="58"/>
      <x:c r="J178" s="58"/>
      <x:c r="K178" s="71"/>
      <x:c r="L178" s="71"/>
      <x:c r="M178" s="58" t="str"/>
      <x:c r="N178" s="58" t="str"/>
    </x:row>
    <x:row r="179">
      <x:c r="A179" s="58" t="str"/>
      <x:c r="B179" s="58" t="str"/>
      <x:c r="C179" s="58" t="str"/>
      <x:c r="D179" s="58" t="str"/>
      <x:c r="E179" s="58" t="str"/>
      <x:c r="F179" s="70"/>
      <x:c r="G179" s="58" t="str"/>
      <x:c r="H179" s="58"/>
      <x:c r="I179" s="58"/>
      <x:c r="J179" s="58"/>
      <x:c r="K179" s="71"/>
      <x:c r="L179" s="71"/>
      <x:c r="M179" s="58" t="str"/>
      <x:c r="N179" s="58" t="str"/>
    </x:row>
    <x:row r="180">
      <x:c r="A180" s="58" t="str"/>
      <x:c r="B180" s="58" t="str"/>
      <x:c r="C180" s="58" t="str"/>
      <x:c r="D180" s="58" t="str"/>
      <x:c r="E180" s="58" t="str"/>
      <x:c r="F180" s="70"/>
      <x:c r="G180" s="58" t="str"/>
      <x:c r="H180" s="58"/>
      <x:c r="I180" s="58"/>
      <x:c r="J180" s="58"/>
      <x:c r="K180" s="71"/>
      <x:c r="L180" s="71"/>
      <x:c r="M180" s="58" t="str"/>
      <x:c r="N180" s="58" t="str"/>
    </x:row>
    <x:row r="181">
      <x:c r="A181" s="58" t="str"/>
      <x:c r="B181" s="58" t="str"/>
      <x:c r="C181" s="58" t="str"/>
      <x:c r="D181" s="58" t="str"/>
      <x:c r="E181" s="58" t="str"/>
      <x:c r="F181" s="70"/>
      <x:c r="G181" s="58" t="str"/>
      <x:c r="H181" s="58"/>
      <x:c r="I181" s="58"/>
      <x:c r="J181" s="58"/>
      <x:c r="K181" s="71"/>
      <x:c r="L181" s="71"/>
      <x:c r="M181" s="58" t="str"/>
      <x:c r="N181" s="58" t="str"/>
    </x:row>
    <x:row r="182">
      <x:c r="A182" s="58" t="str"/>
      <x:c r="B182" s="58" t="str"/>
      <x:c r="C182" s="58" t="str"/>
      <x:c r="D182" s="58" t="str"/>
      <x:c r="E182" s="58" t="str"/>
      <x:c r="F182" s="70"/>
      <x:c r="G182" s="58" t="str"/>
      <x:c r="H182" s="58"/>
      <x:c r="I182" s="58"/>
      <x:c r="J182" s="58"/>
      <x:c r="K182" s="71"/>
      <x:c r="L182" s="71"/>
      <x:c r="M182" s="58" t="str"/>
      <x:c r="N182" s="58" t="str"/>
    </x:row>
    <x:row r="183">
      <x:c r="A183" s="58" t="str"/>
      <x:c r="B183" s="58" t="str"/>
      <x:c r="C183" s="58" t="str"/>
      <x:c r="D183" s="58" t="str"/>
      <x:c r="E183" s="58" t="str"/>
      <x:c r="F183" s="70"/>
      <x:c r="G183" s="58" t="str"/>
      <x:c r="H183" s="58"/>
      <x:c r="I183" s="58"/>
      <x:c r="J183" s="58"/>
      <x:c r="K183" s="71"/>
      <x:c r="L183" s="71"/>
      <x:c r="M183" s="58" t="str"/>
      <x:c r="N183" s="58" t="str"/>
    </x:row>
    <x:row r="184">
      <x:c r="A184" s="58" t="str"/>
      <x:c r="B184" s="58" t="str"/>
      <x:c r="C184" s="58" t="str"/>
      <x:c r="D184" s="58" t="str"/>
      <x:c r="E184" s="58" t="str"/>
      <x:c r="F184" s="70"/>
      <x:c r="G184" s="58" t="str"/>
      <x:c r="H184" s="58"/>
      <x:c r="I184" s="58"/>
      <x:c r="J184" s="58"/>
      <x:c r="K184" s="71"/>
      <x:c r="L184" s="71"/>
      <x:c r="M184" s="58" t="str"/>
      <x:c r="N184" s="58" t="str"/>
    </x:row>
    <x:row r="185">
      <x:c r="A185" s="58" t="str"/>
      <x:c r="B185" s="58" t="str"/>
      <x:c r="C185" s="58" t="str"/>
      <x:c r="D185" s="58" t="str"/>
      <x:c r="E185" s="58" t="str"/>
      <x:c r="F185" s="70"/>
      <x:c r="G185" s="58" t="str"/>
      <x:c r="H185" s="58"/>
      <x:c r="I185" s="58"/>
      <x:c r="J185" s="58"/>
      <x:c r="K185" s="71"/>
      <x:c r="L185" s="71"/>
      <x:c r="M185" s="58" t="str"/>
      <x:c r="N185" s="58" t="str"/>
    </x:row>
    <x:row r="186">
      <x:c r="A186" s="58" t="str"/>
      <x:c r="B186" s="58" t="str"/>
      <x:c r="C186" s="58" t="str"/>
      <x:c r="D186" s="58" t="str"/>
      <x:c r="E186" s="58" t="str"/>
      <x:c r="F186" s="70"/>
      <x:c r="G186" s="58" t="str"/>
      <x:c r="H186" s="58"/>
      <x:c r="I186" s="58"/>
      <x:c r="J186" s="58"/>
      <x:c r="K186" s="71"/>
      <x:c r="L186" s="71"/>
      <x:c r="M186" s="58" t="str"/>
      <x:c r="N186" s="58" t="str"/>
    </x:row>
    <x:row r="187">
      <x:c r="A187" s="58" t="str"/>
      <x:c r="B187" s="58" t="str"/>
      <x:c r="C187" s="58" t="str"/>
      <x:c r="D187" s="58" t="str"/>
      <x:c r="E187" s="58" t="str"/>
      <x:c r="F187" s="70"/>
      <x:c r="G187" s="58" t="str"/>
      <x:c r="H187" s="58"/>
      <x:c r="I187" s="58"/>
      <x:c r="J187" s="58"/>
      <x:c r="K187" s="71"/>
      <x:c r="L187" s="71"/>
      <x:c r="M187" s="58" t="str"/>
      <x:c r="N187" s="58" t="str"/>
    </x:row>
    <x:row r="188">
      <x:c r="A188" s="58" t="str"/>
      <x:c r="B188" s="58" t="str"/>
      <x:c r="C188" s="58" t="str"/>
      <x:c r="D188" s="58" t="str"/>
      <x:c r="E188" s="58" t="str"/>
      <x:c r="F188" s="70"/>
      <x:c r="G188" s="58" t="str"/>
      <x:c r="H188" s="58"/>
      <x:c r="I188" s="58"/>
      <x:c r="J188" s="58"/>
      <x:c r="K188" s="71"/>
      <x:c r="L188" s="71"/>
      <x:c r="M188" s="58" t="str"/>
      <x:c r="N188" s="58" t="str"/>
    </x:row>
    <x:row r="189">
      <x:c r="A189" s="58" t="str"/>
      <x:c r="B189" s="58" t="str"/>
      <x:c r="C189" s="58" t="str"/>
      <x:c r="D189" s="58" t="str"/>
      <x:c r="E189" s="58" t="str"/>
      <x:c r="F189" s="70"/>
      <x:c r="G189" s="58" t="str"/>
      <x:c r="H189" s="58"/>
      <x:c r="I189" s="58"/>
      <x:c r="J189" s="58"/>
      <x:c r="K189" s="71"/>
      <x:c r="L189" s="71"/>
      <x:c r="M189" s="58" t="str"/>
      <x:c r="N189" s="58" t="str"/>
    </x:row>
    <x:row r="190">
      <x:c r="A190" s="58" t="str"/>
      <x:c r="B190" s="58" t="str"/>
      <x:c r="C190" s="58" t="str"/>
      <x:c r="D190" s="58" t="str"/>
      <x:c r="E190" s="58" t="str"/>
      <x:c r="F190" s="70"/>
      <x:c r="G190" s="58" t="str"/>
      <x:c r="H190" s="58"/>
      <x:c r="I190" s="58"/>
      <x:c r="J190" s="58"/>
      <x:c r="K190" s="71"/>
      <x:c r="L190" s="71"/>
      <x:c r="M190" s="58" t="str"/>
      <x:c r="N190" s="58" t="str"/>
    </x:row>
    <x:row r="191">
      <x:c r="A191" s="58" t="str"/>
      <x:c r="B191" s="58" t="str"/>
      <x:c r="C191" s="58" t="str"/>
      <x:c r="D191" s="58" t="str"/>
      <x:c r="E191" s="58" t="str"/>
      <x:c r="F191" s="70"/>
      <x:c r="G191" s="58" t="str"/>
      <x:c r="H191" s="58"/>
      <x:c r="I191" s="58"/>
      <x:c r="J191" s="58"/>
      <x:c r="K191" s="71"/>
      <x:c r="L191" s="71"/>
      <x:c r="M191" s="58" t="str"/>
      <x:c r="N191" s="58" t="str"/>
    </x:row>
    <x:row r="192">
      <x:c r="A192" s="58" t="str"/>
      <x:c r="B192" s="58" t="str"/>
      <x:c r="C192" s="58" t="str"/>
      <x:c r="D192" s="58" t="str"/>
      <x:c r="E192" s="58" t="str"/>
      <x:c r="F192" s="70"/>
      <x:c r="G192" s="58" t="str"/>
      <x:c r="H192" s="58"/>
      <x:c r="I192" s="58"/>
      <x:c r="J192" s="58"/>
      <x:c r="K192" s="71"/>
      <x:c r="L192" s="71"/>
      <x:c r="M192" s="58" t="str"/>
      <x:c r="N192" s="58" t="str"/>
    </x:row>
    <x:row r="193">
      <x:c r="A193" s="58" t="str"/>
      <x:c r="B193" s="58" t="str"/>
      <x:c r="C193" s="58" t="str"/>
      <x:c r="D193" s="58" t="str"/>
      <x:c r="E193" s="58" t="str"/>
      <x:c r="F193" s="70"/>
      <x:c r="G193" s="58" t="str"/>
      <x:c r="H193" s="58"/>
      <x:c r="I193" s="58"/>
      <x:c r="J193" s="58"/>
      <x:c r="K193" s="71"/>
      <x:c r="L193" s="71"/>
      <x:c r="M193" s="58" t="str"/>
      <x:c r="N193" s="58" t="str"/>
    </x:row>
    <x:row r="194">
      <x:c r="A194" s="58" t="str"/>
      <x:c r="B194" s="58" t="str"/>
      <x:c r="C194" s="58" t="str"/>
      <x:c r="D194" s="58" t="str"/>
      <x:c r="E194" s="58" t="str"/>
      <x:c r="F194" s="70"/>
      <x:c r="G194" s="58" t="str"/>
      <x:c r="H194" s="58"/>
      <x:c r="I194" s="58"/>
      <x:c r="J194" s="58"/>
      <x:c r="K194" s="71"/>
      <x:c r="L194" s="71"/>
      <x:c r="M194" s="58" t="str"/>
      <x:c r="N194" s="58" t="str"/>
    </x:row>
    <x:row r="195">
      <x:c r="A195" s="58" t="str"/>
      <x:c r="B195" s="58" t="str"/>
      <x:c r="C195" s="58" t="str"/>
      <x:c r="D195" s="58" t="str"/>
      <x:c r="E195" s="58" t="str"/>
      <x:c r="F195" s="70"/>
      <x:c r="G195" s="58" t="str"/>
      <x:c r="H195" s="58"/>
      <x:c r="I195" s="58"/>
      <x:c r="J195" s="58"/>
      <x:c r="K195" s="71"/>
      <x:c r="L195" s="71"/>
      <x:c r="M195" s="58" t="str"/>
      <x:c r="N195" s="58" t="str"/>
    </x:row>
    <x:row r="196">
      <x:c r="A196" s="58" t="str"/>
      <x:c r="B196" s="58" t="str"/>
      <x:c r="C196" s="58" t="str"/>
      <x:c r="D196" s="58" t="str"/>
      <x:c r="E196" s="58" t="str"/>
      <x:c r="F196" s="70"/>
      <x:c r="G196" s="58" t="str"/>
      <x:c r="H196" s="58"/>
      <x:c r="I196" s="58"/>
      <x:c r="J196" s="58"/>
      <x:c r="K196" s="71"/>
      <x:c r="L196" s="71"/>
      <x:c r="M196" s="58" t="str"/>
      <x:c r="N196" s="58" t="str"/>
    </x:row>
    <x:row r="197">
      <x:c r="A197" s="58" t="str"/>
      <x:c r="B197" s="58" t="str"/>
      <x:c r="C197" s="58" t="str"/>
      <x:c r="D197" s="58" t="str"/>
      <x:c r="E197" s="58" t="str"/>
      <x:c r="F197" s="70"/>
      <x:c r="G197" s="58" t="str"/>
      <x:c r="H197" s="58"/>
      <x:c r="I197" s="58"/>
      <x:c r="J197" s="58"/>
      <x:c r="K197" s="71"/>
      <x:c r="L197" s="71"/>
      <x:c r="M197" s="58" t="str"/>
      <x:c r="N197" s="58" t="str"/>
    </x:row>
    <x:row r="198">
      <x:c r="A198" s="58" t="str"/>
      <x:c r="B198" s="58" t="str"/>
      <x:c r="C198" s="58" t="str"/>
      <x:c r="D198" s="58" t="str"/>
      <x:c r="E198" s="58" t="str"/>
      <x:c r="F198" s="70"/>
      <x:c r="G198" s="58" t="str"/>
      <x:c r="H198" s="58"/>
      <x:c r="I198" s="58"/>
      <x:c r="J198" s="58"/>
      <x:c r="K198" s="71"/>
      <x:c r="L198" s="71"/>
      <x:c r="M198" s="58" t="str"/>
      <x:c r="N198" s="58" t="str"/>
    </x:row>
    <x:row r="199">
      <x:c r="A199" s="58" t="str"/>
      <x:c r="B199" s="58" t="str"/>
      <x:c r="C199" s="58" t="str"/>
      <x:c r="D199" s="58" t="str"/>
      <x:c r="E199" s="58" t="str"/>
      <x:c r="F199" s="70"/>
      <x:c r="G199" s="58" t="str"/>
      <x:c r="H199" s="58"/>
      <x:c r="I199" s="58"/>
      <x:c r="J199" s="58"/>
      <x:c r="K199" s="71"/>
      <x:c r="L199" s="71"/>
      <x:c r="M199" s="58" t="str"/>
      <x:c r="N199" s="58" t="str"/>
    </x:row>
    <x:row r="200">
      <x:c r="A200" s="58" t="str"/>
      <x:c r="B200" s="58" t="str"/>
      <x:c r="C200" s="58" t="str"/>
      <x:c r="D200" s="58" t="str"/>
      <x:c r="E200" s="58" t="str"/>
      <x:c r="F200" s="70"/>
      <x:c r="G200" s="58" t="str"/>
      <x:c r="H200" s="58"/>
      <x:c r="I200" s="58"/>
      <x:c r="J200" s="58"/>
      <x:c r="K200" s="71"/>
      <x:c r="L200" s="71"/>
      <x:c r="M200" s="58" t="str"/>
      <x:c r="N200" s="58" t="str"/>
    </x:row>
    <x:row r="201">
      <x:c r="A201" s="58" t="str"/>
      <x:c r="B201" s="58" t="str"/>
      <x:c r="C201" s="58" t="str"/>
      <x:c r="D201" s="58" t="str"/>
      <x:c r="E201" s="58" t="str"/>
      <x:c r="F201" s="70"/>
      <x:c r="G201" s="58" t="str"/>
      <x:c r="H201" s="58"/>
      <x:c r="I201" s="58"/>
      <x:c r="J201" s="58"/>
      <x:c r="K201" s="71"/>
      <x:c r="L201" s="71"/>
      <x:c r="M201" s="58" t="str"/>
      <x:c r="N201" s="58" t="str"/>
    </x:row>
    <x:row r="202">
      <x:c r="A202" s="58" t="str"/>
      <x:c r="B202" s="58" t="str"/>
      <x:c r="C202" s="58" t="str"/>
      <x:c r="D202" s="58" t="str"/>
      <x:c r="E202" s="58" t="str"/>
      <x:c r="F202" s="70"/>
      <x:c r="G202" s="58" t="str"/>
      <x:c r="H202" s="58"/>
      <x:c r="I202" s="58"/>
      <x:c r="J202" s="58"/>
      <x:c r="K202" s="71"/>
      <x:c r="L202" s="71"/>
      <x:c r="M202" s="58" t="str"/>
      <x:c r="N202" s="58" t="str"/>
    </x:row>
    <x:row r="203">
      <x:c r="A203" s="58" t="str"/>
      <x:c r="B203" s="58" t="str"/>
      <x:c r="C203" s="58" t="str"/>
      <x:c r="D203" s="58" t="str"/>
      <x:c r="E203" s="58" t="str"/>
      <x:c r="F203" s="70"/>
      <x:c r="G203" s="58" t="str"/>
      <x:c r="H203" s="58"/>
      <x:c r="I203" s="58"/>
      <x:c r="J203" s="58"/>
      <x:c r="K203" s="71"/>
      <x:c r="L203" s="71"/>
      <x:c r="M203" s="58" t="str"/>
      <x:c r="N203" s="58" t="str"/>
    </x:row>
    <x:row r="204">
      <x:c r="A204" s="58" t="str"/>
      <x:c r="B204" s="58" t="str"/>
      <x:c r="C204" s="58" t="str"/>
      <x:c r="D204" s="58" t="str"/>
      <x:c r="E204" s="58" t="str"/>
      <x:c r="F204" s="70"/>
      <x:c r="G204" s="58" t="str"/>
      <x:c r="H204" s="58"/>
      <x:c r="I204" s="58"/>
      <x:c r="J204" s="58"/>
      <x:c r="K204" s="71"/>
      <x:c r="L204" s="71"/>
      <x:c r="M204" s="58" t="str"/>
      <x:c r="N204" s="58" t="str"/>
    </x:row>
  </x:sheetData>
  <x:mergeCells>
    <x:mergeCell ref="A1:J1"/>
    <x:mergeCell ref="A2:J2"/>
  </x:mergeCells>
  <x:dataValidations count="1">
    <x:dataValidation type="list" sqref="A5:A204">
      <x:formula1>"기기,PRT,옵션,소모품,부품"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1be84cbc9c4c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2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0" hidden="0" customWidth="1"/>
    <x:col min="14" max="14" width="12" hidden="0" customWidth="1"/>
    <x:col min="15" max="15" width="12" hidden="0" customWidth="1"/>
    <x:col min="16" max="16" width="13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28" customHeight="1">
      <x:c r="A1" s="52" t="str">
        <x:v>기기 발주량 계산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  <x:c r="Q1" s="54"/>
      <x:c r="R1" s="54"/>
      <x:c r="S1" s="54"/>
    </x:row>
    <x:row r="2">
      <x:c r="A2" s="53" t="str">
        <x:v>노란색 입력 → 녹색 수식 → 빨간색 경고. 최종 발주량은 계산값을 검토 후 확정 입력할 수 있습니다.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  <x:c r="Q2" s="54"/>
      <x:c r="R2" s="54"/>
      <x:c r="S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</x:row>
    <x:row r="4">
      <x:c r="A4" s="55" t="str">
        <x:v>발주월</x:v>
      </x:c>
      <x:c r="B4" s="55" t="str">
        <x:v>필요월도</x:v>
      </x:c>
      <x:c r="C4" s="55" t="str">
        <x:v>기종코드</x:v>
      </x:c>
      <x:c r="D4" s="55" t="str">
        <x:v>기종명</x:v>
      </x:c>
      <x:c r="E4" s="55" t="str">
        <x:v>Supplier</x:v>
      </x:c>
      <x:c r="F4" s="55" t="str">
        <x:v>확정수요</x:v>
      </x:c>
      <x:c r="G4" s="55" t="str">
        <x:v>안전재고</x:v>
      </x:c>
      <x:c r="H4" s="55" t="str">
        <x:v>기말재고</x:v>
      </x:c>
      <x:c r="I4" s="55" t="str">
        <x:v>예약/보류</x:v>
      </x:c>
      <x:c r="J4" s="55" t="str">
        <x:v>확정입고</x:v>
      </x:c>
      <x:c r="K4" s="55" t="str">
        <x:v>가용재고</x:v>
      </x:c>
      <x:c r="L4" s="55" t="str">
        <x:v>계산 필요량</x:v>
      </x:c>
      <x:c r="M4" s="55" t="str">
        <x:v>MOQ</x:v>
      </x:c>
      <x:c r="N4" s="55" t="str">
        <x:v>Flex 하한</x:v>
      </x:c>
      <x:c r="O4" s="55" t="str">
        <x:v>Flex 상한</x:v>
      </x:c>
      <x:c r="P4" s="55" t="str">
        <x:v>Flex 판정</x:v>
      </x:c>
      <x:c r="Q4" s="55" t="str">
        <x:v>최종 발주량</x:v>
      </x:c>
      <x:c r="R4" s="55" t="str">
        <x:v>발주금액</x:v>
      </x:c>
      <x:c r="S4" s="55" t="str">
        <x:v>검토상태</x:v>
      </x:c>
    </x:row>
    <x:row r="5">
      <x:c r="A5" s="69" t="str"/>
      <x:c r="B5" s="69" t="str"/>
      <x:c r="C5" s="58" t="str"/>
      <x:c r="D5" s="58" t="str"/>
      <x:c r="E5" s="58" t="str"/>
      <x:c r="F5" s="70"/>
      <x:c r="G5" s="70"/>
      <x:c r="H5" s="70"/>
      <x:c r="I5" s="70"/>
      <x:c r="J5" s="70"/>
      <x:c r="K5" s="66" t="str">
        <x:f>IF(C5="","",MAX(0,H5-I5+J5))</x:f>
      </x:c>
      <x:c r="L5" s="66" t="str">
        <x:f>IF(C5="","",MAX(0,F5+G5-K5))</x:f>
      </x:c>
      <x:c r="M5" s="66"/>
      <x:c r="N5" s="66" t="str">
        <x:f>IF(C5="","",F5*(1-0.2))</x:f>
      </x:c>
      <x:c r="O5" s="66" t="str">
        <x:f>IF(C5="","",F5*(1+0.2))</x:f>
      </x:c>
      <x:c r="P5" s="60" t="str">
        <x:f>IF(C5="","",IF(L5=0,"정상",IF(L5&lt;N5,"Flex 미달",IF(L5&gt;O5,"Flex 초과","정상"))))</x:f>
      </x:c>
      <x:c r="Q5" s="66" t="str">
        <x:f>IF(C5="","",IF(L5=0,0,ROUNDUP(L5/M5,0)*M5))</x:f>
      </x:c>
      <x:c r="R5" s="66" t="str">
        <x:f>IF(C5="","",Q5*SUMIF('07_기준정보'!$B$5:$B$204,C5,'07_기준정보'!$F$5:$F$204))</x:f>
      </x:c>
      <x:c r="S5" s="58" t="str">
        <x:v>미검토</x:v>
      </x:c>
    </x:row>
    <x:row r="6">
      <x:c r="A6" s="69" t="str"/>
      <x:c r="B6" s="69" t="str"/>
      <x:c r="C6" s="58" t="str"/>
      <x:c r="D6" s="58" t="str"/>
      <x:c r="E6" s="58" t="str"/>
      <x:c r="F6" s="70"/>
      <x:c r="G6" s="70"/>
      <x:c r="H6" s="70"/>
      <x:c r="I6" s="70"/>
      <x:c r="J6" s="70"/>
      <x:c r="K6" s="66" t="str">
        <x:f>IF(C6="","",MAX(0,H6-I6+J6))</x:f>
      </x:c>
      <x:c r="L6" s="66" t="str">
        <x:f>IF(C6="","",MAX(0,F6+G6-K6))</x:f>
      </x:c>
      <x:c r="M6" s="66"/>
      <x:c r="N6" s="66" t="str">
        <x:f>IF(C6="","",F6*(1-0.2))</x:f>
      </x:c>
      <x:c r="O6" s="66" t="str">
        <x:f>IF(C6="","",F6*(1+0.2))</x:f>
      </x:c>
      <x:c r="P6" s="60" t="str">
        <x:f>IF(C6="","",IF(L6=0,"정상",IF(L6&lt;N6,"Flex 미달",IF(L6&gt;O6,"Flex 초과","정상"))))</x:f>
      </x:c>
      <x:c r="Q6" s="66" t="str">
        <x:f>IF(C6="","",IF(L6=0,0,ROUNDUP(L6/M6,0)*M6))</x:f>
      </x:c>
      <x:c r="R6" s="66" t="str">
        <x:f>IF(C6="","",Q6*SUMIF('07_기준정보'!$B$5:$B$204,C6,'07_기준정보'!$F$5:$F$204))</x:f>
      </x:c>
      <x:c r="S6" s="58" t="str">
        <x:v>미검토</x:v>
      </x:c>
    </x:row>
    <x:row r="7">
      <x:c r="A7" s="69" t="str"/>
      <x:c r="B7" s="69" t="str"/>
      <x:c r="C7" s="58" t="str"/>
      <x:c r="D7" s="58" t="str"/>
      <x:c r="E7" s="58" t="str"/>
      <x:c r="F7" s="70"/>
      <x:c r="G7" s="70"/>
      <x:c r="H7" s="70"/>
      <x:c r="I7" s="70"/>
      <x:c r="J7" s="70"/>
      <x:c r="K7" s="66" t="str">
        <x:f>IF(C7="","",MAX(0,H7-I7+J7))</x:f>
      </x:c>
      <x:c r="L7" s="66" t="str">
        <x:f>IF(C7="","",MAX(0,F7+G7-K7))</x:f>
      </x:c>
      <x:c r="M7" s="66"/>
      <x:c r="N7" s="66" t="str">
        <x:f>IF(C7="","",F7*(1-0.2))</x:f>
      </x:c>
      <x:c r="O7" s="66" t="str">
        <x:f>IF(C7="","",F7*(1+0.2))</x:f>
      </x:c>
      <x:c r="P7" s="60" t="str">
        <x:f>IF(C7="","",IF(L7=0,"정상",IF(L7&lt;N7,"Flex 미달",IF(L7&gt;O7,"Flex 초과","정상"))))</x:f>
      </x:c>
      <x:c r="Q7" s="66" t="str">
        <x:f>IF(C7="","",IF(L7=0,0,ROUNDUP(L7/M7,0)*M7))</x:f>
      </x:c>
      <x:c r="R7" s="66" t="str">
        <x:f>IF(C7="","",Q7*SUMIF('07_기준정보'!$B$5:$B$204,C7,'07_기준정보'!$F$5:$F$204))</x:f>
      </x:c>
      <x:c r="S7" s="58" t="str">
        <x:v>미검토</x:v>
      </x:c>
    </x:row>
    <x:row r="8">
      <x:c r="A8" s="69" t="str"/>
      <x:c r="B8" s="69" t="str"/>
      <x:c r="C8" s="58" t="str"/>
      <x:c r="D8" s="58" t="str"/>
      <x:c r="E8" s="58" t="str"/>
      <x:c r="F8" s="70"/>
      <x:c r="G8" s="70"/>
      <x:c r="H8" s="70"/>
      <x:c r="I8" s="70"/>
      <x:c r="J8" s="70"/>
      <x:c r="K8" s="66" t="str">
        <x:f>IF(C8="","",MAX(0,H8-I8+J8))</x:f>
      </x:c>
      <x:c r="L8" s="66" t="str">
        <x:f>IF(C8="","",MAX(0,F8+G8-K8))</x:f>
      </x:c>
      <x:c r="M8" s="66"/>
      <x:c r="N8" s="66" t="str">
        <x:f>IF(C8="","",F8*(1-0.2))</x:f>
      </x:c>
      <x:c r="O8" s="66" t="str">
        <x:f>IF(C8="","",F8*(1+0.2))</x:f>
      </x:c>
      <x:c r="P8" s="60" t="str">
        <x:f>IF(C8="","",IF(L8=0,"정상",IF(L8&lt;N8,"Flex 미달",IF(L8&gt;O8,"Flex 초과","정상"))))</x:f>
      </x:c>
      <x:c r="Q8" s="66" t="str">
        <x:f>IF(C8="","",IF(L8=0,0,ROUNDUP(L8/M8,0)*M8))</x:f>
      </x:c>
      <x:c r="R8" s="66" t="str">
        <x:f>IF(C8="","",Q8*SUMIF('07_기준정보'!$B$5:$B$204,C8,'07_기준정보'!$F$5:$F$204))</x:f>
      </x:c>
      <x:c r="S8" s="58" t="str">
        <x:v>미검토</x:v>
      </x:c>
    </x:row>
    <x:row r="9">
      <x:c r="A9" s="69" t="str"/>
      <x:c r="B9" s="69" t="str"/>
      <x:c r="C9" s="58" t="str"/>
      <x:c r="D9" s="58" t="str"/>
      <x:c r="E9" s="58" t="str"/>
      <x:c r="F9" s="70"/>
      <x:c r="G9" s="70"/>
      <x:c r="H9" s="70"/>
      <x:c r="I9" s="70"/>
      <x:c r="J9" s="70"/>
      <x:c r="K9" s="66" t="str">
        <x:f>IF(C9="","",MAX(0,H9-I9+J9))</x:f>
      </x:c>
      <x:c r="L9" s="66" t="str">
        <x:f>IF(C9="","",MAX(0,F9+G9-K9))</x:f>
      </x:c>
      <x:c r="M9" s="66"/>
      <x:c r="N9" s="66" t="str">
        <x:f>IF(C9="","",F9*(1-0.2))</x:f>
      </x:c>
      <x:c r="O9" s="66" t="str">
        <x:f>IF(C9="","",F9*(1+0.2))</x:f>
      </x:c>
      <x:c r="P9" s="60" t="str">
        <x:f>IF(C9="","",IF(L9=0,"정상",IF(L9&lt;N9,"Flex 미달",IF(L9&gt;O9,"Flex 초과","정상"))))</x:f>
      </x:c>
      <x:c r="Q9" s="66" t="str">
        <x:f>IF(C9="","",IF(L9=0,0,ROUNDUP(L9/M9,0)*M9))</x:f>
      </x:c>
      <x:c r="R9" s="66" t="str">
        <x:f>IF(C9="","",Q9*SUMIF('07_기준정보'!$B$5:$B$204,C9,'07_기준정보'!$F$5:$F$204))</x:f>
      </x:c>
      <x:c r="S9" s="58" t="str">
        <x:v>미검토</x:v>
      </x:c>
    </x:row>
    <x:row r="10">
      <x:c r="A10" s="69" t="str"/>
      <x:c r="B10" s="69" t="str"/>
      <x:c r="C10" s="58" t="str"/>
      <x:c r="D10" s="58" t="str"/>
      <x:c r="E10" s="58" t="str"/>
      <x:c r="F10" s="70"/>
      <x:c r="G10" s="70"/>
      <x:c r="H10" s="70"/>
      <x:c r="I10" s="70"/>
      <x:c r="J10" s="70"/>
      <x:c r="K10" s="66" t="str">
        <x:f>IF(C10="","",MAX(0,H10-I10+J10))</x:f>
      </x:c>
      <x:c r="L10" s="66" t="str">
        <x:f>IF(C10="","",MAX(0,F10+G10-K10))</x:f>
      </x:c>
      <x:c r="M10" s="66"/>
      <x:c r="N10" s="66" t="str">
        <x:f>IF(C10="","",F10*(1-0.2))</x:f>
      </x:c>
      <x:c r="O10" s="66" t="str">
        <x:f>IF(C10="","",F10*(1+0.2))</x:f>
      </x:c>
      <x:c r="P10" s="60" t="str">
        <x:f>IF(C10="","",IF(L10=0,"정상",IF(L10&lt;N10,"Flex 미달",IF(L10&gt;O10,"Flex 초과","정상"))))</x:f>
      </x:c>
      <x:c r="Q10" s="66" t="str">
        <x:f>IF(C10="","",IF(L10=0,0,ROUNDUP(L10/M10,0)*M10))</x:f>
      </x:c>
      <x:c r="R10" s="66" t="str">
        <x:f>IF(C10="","",Q10*SUMIF('07_기준정보'!$B$5:$B$204,C10,'07_기준정보'!$F$5:$F$204))</x:f>
      </x:c>
      <x:c r="S10" s="58" t="str">
        <x:v>미검토</x:v>
      </x:c>
    </x:row>
    <x:row r="11">
      <x:c r="A11" s="69" t="str"/>
      <x:c r="B11" s="69" t="str"/>
      <x:c r="C11" s="58" t="str"/>
      <x:c r="D11" s="58" t="str"/>
      <x:c r="E11" s="58" t="str"/>
      <x:c r="F11" s="70"/>
      <x:c r="G11" s="70"/>
      <x:c r="H11" s="70"/>
      <x:c r="I11" s="70"/>
      <x:c r="J11" s="70"/>
      <x:c r="K11" s="66" t="str">
        <x:f>IF(C11="","",MAX(0,H11-I11+J11))</x:f>
      </x:c>
      <x:c r="L11" s="66" t="str">
        <x:f>IF(C11="","",MAX(0,F11+G11-K11))</x:f>
      </x:c>
      <x:c r="M11" s="66"/>
      <x:c r="N11" s="66" t="str">
        <x:f>IF(C11="","",F11*(1-0.2))</x:f>
      </x:c>
      <x:c r="O11" s="66" t="str">
        <x:f>IF(C11="","",F11*(1+0.2))</x:f>
      </x:c>
      <x:c r="P11" s="60" t="str">
        <x:f>IF(C11="","",IF(L11=0,"정상",IF(L11&lt;N11,"Flex 미달",IF(L11&gt;O11,"Flex 초과","정상"))))</x:f>
      </x:c>
      <x:c r="Q11" s="66" t="str">
        <x:f>IF(C11="","",IF(L11=0,0,ROUNDUP(L11/M11,0)*M11))</x:f>
      </x:c>
      <x:c r="R11" s="66" t="str">
        <x:f>IF(C11="","",Q11*SUMIF('07_기준정보'!$B$5:$B$204,C11,'07_기준정보'!$F$5:$F$204))</x:f>
      </x:c>
      <x:c r="S11" s="58" t="str">
        <x:v>미검토</x:v>
      </x:c>
    </x:row>
    <x:row r="12">
      <x:c r="A12" s="69" t="str"/>
      <x:c r="B12" s="69" t="str"/>
      <x:c r="C12" s="58" t="str"/>
      <x:c r="D12" s="58" t="str"/>
      <x:c r="E12" s="58" t="str"/>
      <x:c r="F12" s="70"/>
      <x:c r="G12" s="70"/>
      <x:c r="H12" s="70"/>
      <x:c r="I12" s="70"/>
      <x:c r="J12" s="70"/>
      <x:c r="K12" s="66" t="str">
        <x:f>IF(C12="","",MAX(0,H12-I12+J12))</x:f>
      </x:c>
      <x:c r="L12" s="66" t="str">
        <x:f>IF(C12="","",MAX(0,F12+G12-K12))</x:f>
      </x:c>
      <x:c r="M12" s="66"/>
      <x:c r="N12" s="66" t="str">
        <x:f>IF(C12="","",F12*(1-0.2))</x:f>
      </x:c>
      <x:c r="O12" s="66" t="str">
        <x:f>IF(C12="","",F12*(1+0.2))</x:f>
      </x:c>
      <x:c r="P12" s="60" t="str">
        <x:f>IF(C12="","",IF(L12=0,"정상",IF(L12&lt;N12,"Flex 미달",IF(L12&gt;O12,"Flex 초과","정상"))))</x:f>
      </x:c>
      <x:c r="Q12" s="66" t="str">
        <x:f>IF(C12="","",IF(L12=0,0,ROUNDUP(L12/M12,0)*M12))</x:f>
      </x:c>
      <x:c r="R12" s="66" t="str">
        <x:f>IF(C12="","",Q12*SUMIF('07_기준정보'!$B$5:$B$204,C12,'07_기준정보'!$F$5:$F$204))</x:f>
      </x:c>
      <x:c r="S12" s="58" t="str">
        <x:v>미검토</x:v>
      </x:c>
    </x:row>
    <x:row r="13">
      <x:c r="A13" s="69" t="str"/>
      <x:c r="B13" s="69" t="str"/>
      <x:c r="C13" s="58" t="str"/>
      <x:c r="D13" s="58" t="str"/>
      <x:c r="E13" s="58" t="str"/>
      <x:c r="F13" s="70"/>
      <x:c r="G13" s="70"/>
      <x:c r="H13" s="70"/>
      <x:c r="I13" s="70"/>
      <x:c r="J13" s="70"/>
      <x:c r="K13" s="66" t="str">
        <x:f>IF(C13="","",MAX(0,H13-I13+J13))</x:f>
      </x:c>
      <x:c r="L13" s="66" t="str">
        <x:f>IF(C13="","",MAX(0,F13+G13-K13))</x:f>
      </x:c>
      <x:c r="M13" s="66"/>
      <x:c r="N13" s="66" t="str">
        <x:f>IF(C13="","",F13*(1-0.2))</x:f>
      </x:c>
      <x:c r="O13" s="66" t="str">
        <x:f>IF(C13="","",F13*(1+0.2))</x:f>
      </x:c>
      <x:c r="P13" s="60" t="str">
        <x:f>IF(C13="","",IF(L13=0,"정상",IF(L13&lt;N13,"Flex 미달",IF(L13&gt;O13,"Flex 초과","정상"))))</x:f>
      </x:c>
      <x:c r="Q13" s="66" t="str">
        <x:f>IF(C13="","",IF(L13=0,0,ROUNDUP(L13/M13,0)*M13))</x:f>
      </x:c>
      <x:c r="R13" s="66" t="str">
        <x:f>IF(C13="","",Q13*SUMIF('07_기준정보'!$B$5:$B$204,C13,'07_기준정보'!$F$5:$F$204))</x:f>
      </x:c>
      <x:c r="S13" s="58" t="str">
        <x:v>미검토</x:v>
      </x:c>
    </x:row>
    <x:row r="14">
      <x:c r="A14" s="69" t="str"/>
      <x:c r="B14" s="69" t="str"/>
      <x:c r="C14" s="58" t="str"/>
      <x:c r="D14" s="58" t="str"/>
      <x:c r="E14" s="58" t="str"/>
      <x:c r="F14" s="70"/>
      <x:c r="G14" s="70"/>
      <x:c r="H14" s="70"/>
      <x:c r="I14" s="70"/>
      <x:c r="J14" s="70"/>
      <x:c r="K14" s="66" t="str">
        <x:f>IF(C14="","",MAX(0,H14-I14+J14))</x:f>
      </x:c>
      <x:c r="L14" s="66" t="str">
        <x:f>IF(C14="","",MAX(0,F14+G14-K14))</x:f>
      </x:c>
      <x:c r="M14" s="66"/>
      <x:c r="N14" s="66" t="str">
        <x:f>IF(C14="","",F14*(1-0.2))</x:f>
      </x:c>
      <x:c r="O14" s="66" t="str">
        <x:f>IF(C14="","",F14*(1+0.2))</x:f>
      </x:c>
      <x:c r="P14" s="60" t="str">
        <x:f>IF(C14="","",IF(L14=0,"정상",IF(L14&lt;N14,"Flex 미달",IF(L14&gt;O14,"Flex 초과","정상"))))</x:f>
      </x:c>
      <x:c r="Q14" s="66" t="str">
        <x:f>IF(C14="","",IF(L14=0,0,ROUNDUP(L14/M14,0)*M14))</x:f>
      </x:c>
      <x:c r="R14" s="66" t="str">
        <x:f>IF(C14="","",Q14*SUMIF('07_기준정보'!$B$5:$B$204,C14,'07_기준정보'!$F$5:$F$204))</x:f>
      </x:c>
      <x:c r="S14" s="58" t="str">
        <x:v>미검토</x:v>
      </x:c>
    </x:row>
    <x:row r="15">
      <x:c r="A15" s="69" t="str"/>
      <x:c r="B15" s="69" t="str"/>
      <x:c r="C15" s="58" t="str"/>
      <x:c r="D15" s="58" t="str"/>
      <x:c r="E15" s="58" t="str"/>
      <x:c r="F15" s="70"/>
      <x:c r="G15" s="70"/>
      <x:c r="H15" s="70"/>
      <x:c r="I15" s="70"/>
      <x:c r="J15" s="70"/>
      <x:c r="K15" s="66" t="str">
        <x:f>IF(C15="","",MAX(0,H15-I15+J15))</x:f>
      </x:c>
      <x:c r="L15" s="66" t="str">
        <x:f>IF(C15="","",MAX(0,F15+G15-K15))</x:f>
      </x:c>
      <x:c r="M15" s="66"/>
      <x:c r="N15" s="66" t="str">
        <x:f>IF(C15="","",F15*(1-0.2))</x:f>
      </x:c>
      <x:c r="O15" s="66" t="str">
        <x:f>IF(C15="","",F15*(1+0.2))</x:f>
      </x:c>
      <x:c r="P15" s="60" t="str">
        <x:f>IF(C15="","",IF(L15=0,"정상",IF(L15&lt;N15,"Flex 미달",IF(L15&gt;O15,"Flex 초과","정상"))))</x:f>
      </x:c>
      <x:c r="Q15" s="66" t="str">
        <x:f>IF(C15="","",IF(L15=0,0,ROUNDUP(L15/M15,0)*M15))</x:f>
      </x:c>
      <x:c r="R15" s="66" t="str">
        <x:f>IF(C15="","",Q15*SUMIF('07_기준정보'!$B$5:$B$204,C15,'07_기준정보'!$F$5:$F$204))</x:f>
      </x:c>
      <x:c r="S15" s="58" t="str">
        <x:v>미검토</x:v>
      </x:c>
    </x:row>
    <x:row r="16">
      <x:c r="A16" s="69" t="str"/>
      <x:c r="B16" s="69" t="str"/>
      <x:c r="C16" s="58" t="str"/>
      <x:c r="D16" s="58" t="str"/>
      <x:c r="E16" s="58" t="str"/>
      <x:c r="F16" s="70"/>
      <x:c r="G16" s="70"/>
      <x:c r="H16" s="70"/>
      <x:c r="I16" s="70"/>
      <x:c r="J16" s="70"/>
      <x:c r="K16" s="66" t="str">
        <x:f>IF(C16="","",MAX(0,H16-I16+J16))</x:f>
      </x:c>
      <x:c r="L16" s="66" t="str">
        <x:f>IF(C16="","",MAX(0,F16+G16-K16))</x:f>
      </x:c>
      <x:c r="M16" s="66"/>
      <x:c r="N16" s="66" t="str">
        <x:f>IF(C16="","",F16*(1-0.2))</x:f>
      </x:c>
      <x:c r="O16" s="66" t="str">
        <x:f>IF(C16="","",F16*(1+0.2))</x:f>
      </x:c>
      <x:c r="P16" s="60" t="str">
        <x:f>IF(C16="","",IF(L16=0,"정상",IF(L16&lt;N16,"Flex 미달",IF(L16&gt;O16,"Flex 초과","정상"))))</x:f>
      </x:c>
      <x:c r="Q16" s="66" t="str">
        <x:f>IF(C16="","",IF(L16=0,0,ROUNDUP(L16/M16,0)*M16))</x:f>
      </x:c>
      <x:c r="R16" s="66" t="str">
        <x:f>IF(C16="","",Q16*SUMIF('07_기준정보'!$B$5:$B$204,C16,'07_기준정보'!$F$5:$F$204))</x:f>
      </x:c>
      <x:c r="S16" s="58" t="str">
        <x:v>미검토</x:v>
      </x:c>
    </x:row>
    <x:row r="17">
      <x:c r="A17" s="69" t="str"/>
      <x:c r="B17" s="69" t="str"/>
      <x:c r="C17" s="58" t="str"/>
      <x:c r="D17" s="58" t="str"/>
      <x:c r="E17" s="58" t="str"/>
      <x:c r="F17" s="70"/>
      <x:c r="G17" s="70"/>
      <x:c r="H17" s="70"/>
      <x:c r="I17" s="70"/>
      <x:c r="J17" s="70"/>
      <x:c r="K17" s="66" t="str">
        <x:f>IF(C17="","",MAX(0,H17-I17+J17))</x:f>
      </x:c>
      <x:c r="L17" s="66" t="str">
        <x:f>IF(C17="","",MAX(0,F17+G17-K17))</x:f>
      </x:c>
      <x:c r="M17" s="66"/>
      <x:c r="N17" s="66" t="str">
        <x:f>IF(C17="","",F17*(1-0.2))</x:f>
      </x:c>
      <x:c r="O17" s="66" t="str">
        <x:f>IF(C17="","",F17*(1+0.2))</x:f>
      </x:c>
      <x:c r="P17" s="60" t="str">
        <x:f>IF(C17="","",IF(L17=0,"정상",IF(L17&lt;N17,"Flex 미달",IF(L17&gt;O17,"Flex 초과","정상"))))</x:f>
      </x:c>
      <x:c r="Q17" s="66" t="str">
        <x:f>IF(C17="","",IF(L17=0,0,ROUNDUP(L17/M17,0)*M17))</x:f>
      </x:c>
      <x:c r="R17" s="66" t="str">
        <x:f>IF(C17="","",Q17*SUMIF('07_기준정보'!$B$5:$B$204,C17,'07_기준정보'!$F$5:$F$204))</x:f>
      </x:c>
      <x:c r="S17" s="58" t="str">
        <x:v>미검토</x:v>
      </x:c>
    </x:row>
    <x:row r="18">
      <x:c r="A18" s="69" t="str"/>
      <x:c r="B18" s="69" t="str"/>
      <x:c r="C18" s="58" t="str"/>
      <x:c r="D18" s="58" t="str"/>
      <x:c r="E18" s="58" t="str"/>
      <x:c r="F18" s="70"/>
      <x:c r="G18" s="70"/>
      <x:c r="H18" s="70"/>
      <x:c r="I18" s="70"/>
      <x:c r="J18" s="70"/>
      <x:c r="K18" s="66" t="str">
        <x:f>IF(C18="","",MAX(0,H18-I18+J18))</x:f>
      </x:c>
      <x:c r="L18" s="66" t="str">
        <x:f>IF(C18="","",MAX(0,F18+G18-K18))</x:f>
      </x:c>
      <x:c r="M18" s="66"/>
      <x:c r="N18" s="66" t="str">
        <x:f>IF(C18="","",F18*(1-0.2))</x:f>
      </x:c>
      <x:c r="O18" s="66" t="str">
        <x:f>IF(C18="","",F18*(1+0.2))</x:f>
      </x:c>
      <x:c r="P18" s="60" t="str">
        <x:f>IF(C18="","",IF(L18=0,"정상",IF(L18&lt;N18,"Flex 미달",IF(L18&gt;O18,"Flex 초과","정상"))))</x:f>
      </x:c>
      <x:c r="Q18" s="66" t="str">
        <x:f>IF(C18="","",IF(L18=0,0,ROUNDUP(L18/M18,0)*M18))</x:f>
      </x:c>
      <x:c r="R18" s="66" t="str">
        <x:f>IF(C18="","",Q18*SUMIF('07_기준정보'!$B$5:$B$204,C18,'07_기준정보'!$F$5:$F$204))</x:f>
      </x:c>
      <x:c r="S18" s="58" t="str">
        <x:v>미검토</x:v>
      </x:c>
    </x:row>
    <x:row r="19">
      <x:c r="A19" s="69" t="str"/>
      <x:c r="B19" s="69" t="str"/>
      <x:c r="C19" s="58" t="str"/>
      <x:c r="D19" s="58" t="str"/>
      <x:c r="E19" s="58" t="str"/>
      <x:c r="F19" s="70"/>
      <x:c r="G19" s="70"/>
      <x:c r="H19" s="70"/>
      <x:c r="I19" s="70"/>
      <x:c r="J19" s="70"/>
      <x:c r="K19" s="66" t="str">
        <x:f>IF(C19="","",MAX(0,H19-I19+J19))</x:f>
      </x:c>
      <x:c r="L19" s="66" t="str">
        <x:f>IF(C19="","",MAX(0,F19+G19-K19))</x:f>
      </x:c>
      <x:c r="M19" s="66"/>
      <x:c r="N19" s="66" t="str">
        <x:f>IF(C19="","",F19*(1-0.2))</x:f>
      </x:c>
      <x:c r="O19" s="66" t="str">
        <x:f>IF(C19="","",F19*(1+0.2))</x:f>
      </x:c>
      <x:c r="P19" s="60" t="str">
        <x:f>IF(C19="","",IF(L19=0,"정상",IF(L19&lt;N19,"Flex 미달",IF(L19&gt;O19,"Flex 초과","정상"))))</x:f>
      </x:c>
      <x:c r="Q19" s="66" t="str">
        <x:f>IF(C19="","",IF(L19=0,0,ROUNDUP(L19/M19,0)*M19))</x:f>
      </x:c>
      <x:c r="R19" s="66" t="str">
        <x:f>IF(C19="","",Q19*SUMIF('07_기준정보'!$B$5:$B$204,C19,'07_기준정보'!$F$5:$F$204))</x:f>
      </x:c>
      <x:c r="S19" s="58" t="str">
        <x:v>미검토</x:v>
      </x:c>
    </x:row>
    <x:row r="20">
      <x:c r="A20" s="69" t="str"/>
      <x:c r="B20" s="69" t="str"/>
      <x:c r="C20" s="58" t="str"/>
      <x:c r="D20" s="58" t="str"/>
      <x:c r="E20" s="58" t="str"/>
      <x:c r="F20" s="70"/>
      <x:c r="G20" s="70"/>
      <x:c r="H20" s="70"/>
      <x:c r="I20" s="70"/>
      <x:c r="J20" s="70"/>
      <x:c r="K20" s="66" t="str">
        <x:f>IF(C20="","",MAX(0,H20-I20+J20))</x:f>
      </x:c>
      <x:c r="L20" s="66" t="str">
        <x:f>IF(C20="","",MAX(0,F20+G20-K20))</x:f>
      </x:c>
      <x:c r="M20" s="66"/>
      <x:c r="N20" s="66" t="str">
        <x:f>IF(C20="","",F20*(1-0.2))</x:f>
      </x:c>
      <x:c r="O20" s="66" t="str">
        <x:f>IF(C20="","",F20*(1+0.2))</x:f>
      </x:c>
      <x:c r="P20" s="60" t="str">
        <x:f>IF(C20="","",IF(L20=0,"정상",IF(L20&lt;N20,"Flex 미달",IF(L20&gt;O20,"Flex 초과","정상"))))</x:f>
      </x:c>
      <x:c r="Q20" s="66" t="str">
        <x:f>IF(C20="","",IF(L20=0,0,ROUNDUP(L20/M20,0)*M20))</x:f>
      </x:c>
      <x:c r="R20" s="66" t="str">
        <x:f>IF(C20="","",Q20*SUMIF('07_기준정보'!$B$5:$B$204,C20,'07_기준정보'!$F$5:$F$204))</x:f>
      </x:c>
      <x:c r="S20" s="58" t="str">
        <x:v>미검토</x:v>
      </x:c>
    </x:row>
    <x:row r="21">
      <x:c r="A21" s="69" t="str"/>
      <x:c r="B21" s="69" t="str"/>
      <x:c r="C21" s="58" t="str"/>
      <x:c r="D21" s="58" t="str"/>
      <x:c r="E21" s="58" t="str"/>
      <x:c r="F21" s="70"/>
      <x:c r="G21" s="70"/>
      <x:c r="H21" s="70"/>
      <x:c r="I21" s="70"/>
      <x:c r="J21" s="70"/>
      <x:c r="K21" s="66" t="str">
        <x:f>IF(C21="","",MAX(0,H21-I21+J21))</x:f>
      </x:c>
      <x:c r="L21" s="66" t="str">
        <x:f>IF(C21="","",MAX(0,F21+G21-K21))</x:f>
      </x:c>
      <x:c r="M21" s="66"/>
      <x:c r="N21" s="66" t="str">
        <x:f>IF(C21="","",F21*(1-0.2))</x:f>
      </x:c>
      <x:c r="O21" s="66" t="str">
        <x:f>IF(C21="","",F21*(1+0.2))</x:f>
      </x:c>
      <x:c r="P21" s="60" t="str">
        <x:f>IF(C21="","",IF(L21=0,"정상",IF(L21&lt;N21,"Flex 미달",IF(L21&gt;O21,"Flex 초과","정상"))))</x:f>
      </x:c>
      <x:c r="Q21" s="66" t="str">
        <x:f>IF(C21="","",IF(L21=0,0,ROUNDUP(L21/M21,0)*M21))</x:f>
      </x:c>
      <x:c r="R21" s="66" t="str">
        <x:f>IF(C21="","",Q21*SUMIF('07_기준정보'!$B$5:$B$204,C21,'07_기준정보'!$F$5:$F$204))</x:f>
      </x:c>
      <x:c r="S21" s="58" t="str">
        <x:v>미검토</x:v>
      </x:c>
    </x:row>
    <x:row r="22">
      <x:c r="A22" s="69" t="str"/>
      <x:c r="B22" s="69" t="str"/>
      <x:c r="C22" s="58" t="str"/>
      <x:c r="D22" s="58" t="str"/>
      <x:c r="E22" s="58" t="str"/>
      <x:c r="F22" s="70"/>
      <x:c r="G22" s="70"/>
      <x:c r="H22" s="70"/>
      <x:c r="I22" s="70"/>
      <x:c r="J22" s="70"/>
      <x:c r="K22" s="66" t="str">
        <x:f>IF(C22="","",MAX(0,H22-I22+J22))</x:f>
      </x:c>
      <x:c r="L22" s="66" t="str">
        <x:f>IF(C22="","",MAX(0,F22+G22-K22))</x:f>
      </x:c>
      <x:c r="M22" s="66"/>
      <x:c r="N22" s="66" t="str">
        <x:f>IF(C22="","",F22*(1-0.2))</x:f>
      </x:c>
      <x:c r="O22" s="66" t="str">
        <x:f>IF(C22="","",F22*(1+0.2))</x:f>
      </x:c>
      <x:c r="P22" s="60" t="str">
        <x:f>IF(C22="","",IF(L22=0,"정상",IF(L22&lt;N22,"Flex 미달",IF(L22&gt;O22,"Flex 초과","정상"))))</x:f>
      </x:c>
      <x:c r="Q22" s="66" t="str">
        <x:f>IF(C22="","",IF(L22=0,0,ROUNDUP(L22/M22,0)*M22))</x:f>
      </x:c>
      <x:c r="R22" s="66" t="str">
        <x:f>IF(C22="","",Q22*SUMIF('07_기준정보'!$B$5:$B$204,C22,'07_기준정보'!$F$5:$F$204))</x:f>
      </x:c>
      <x:c r="S22" s="58" t="str">
        <x:v>미검토</x:v>
      </x:c>
    </x:row>
    <x:row r="23">
      <x:c r="A23" s="69" t="str"/>
      <x:c r="B23" s="69" t="str"/>
      <x:c r="C23" s="58" t="str"/>
      <x:c r="D23" s="58" t="str"/>
      <x:c r="E23" s="58" t="str"/>
      <x:c r="F23" s="70"/>
      <x:c r="G23" s="70"/>
      <x:c r="H23" s="70"/>
      <x:c r="I23" s="70"/>
      <x:c r="J23" s="70"/>
      <x:c r="K23" s="66" t="str">
        <x:f>IF(C23="","",MAX(0,H23-I23+J23))</x:f>
      </x:c>
      <x:c r="L23" s="66" t="str">
        <x:f>IF(C23="","",MAX(0,F23+G23-K23))</x:f>
      </x:c>
      <x:c r="M23" s="66"/>
      <x:c r="N23" s="66" t="str">
        <x:f>IF(C23="","",F23*(1-0.2))</x:f>
      </x:c>
      <x:c r="O23" s="66" t="str">
        <x:f>IF(C23="","",F23*(1+0.2))</x:f>
      </x:c>
      <x:c r="P23" s="60" t="str">
        <x:f>IF(C23="","",IF(L23=0,"정상",IF(L23&lt;N23,"Flex 미달",IF(L23&gt;O23,"Flex 초과","정상"))))</x:f>
      </x:c>
      <x:c r="Q23" s="66" t="str">
        <x:f>IF(C23="","",IF(L23=0,0,ROUNDUP(L23/M23,0)*M23))</x:f>
      </x:c>
      <x:c r="R23" s="66" t="str">
        <x:f>IF(C23="","",Q23*SUMIF('07_기준정보'!$B$5:$B$204,C23,'07_기준정보'!$F$5:$F$204))</x:f>
      </x:c>
      <x:c r="S23" s="58" t="str">
        <x:v>미검토</x:v>
      </x:c>
    </x:row>
    <x:row r="24">
      <x:c r="A24" s="69" t="str"/>
      <x:c r="B24" s="69" t="str"/>
      <x:c r="C24" s="58" t="str"/>
      <x:c r="D24" s="58" t="str"/>
      <x:c r="E24" s="58" t="str"/>
      <x:c r="F24" s="70"/>
      <x:c r="G24" s="70"/>
      <x:c r="H24" s="70"/>
      <x:c r="I24" s="70"/>
      <x:c r="J24" s="70"/>
      <x:c r="K24" s="66" t="str">
        <x:f>IF(C24="","",MAX(0,H24-I24+J24))</x:f>
      </x:c>
      <x:c r="L24" s="66" t="str">
        <x:f>IF(C24="","",MAX(0,F24+G24-K24))</x:f>
      </x:c>
      <x:c r="M24" s="66"/>
      <x:c r="N24" s="66" t="str">
        <x:f>IF(C24="","",F24*(1-0.2))</x:f>
      </x:c>
      <x:c r="O24" s="66" t="str">
        <x:f>IF(C24="","",F24*(1+0.2))</x:f>
      </x:c>
      <x:c r="P24" s="60" t="str">
        <x:f>IF(C24="","",IF(L24=0,"정상",IF(L24&lt;N24,"Flex 미달",IF(L24&gt;O24,"Flex 초과","정상"))))</x:f>
      </x:c>
      <x:c r="Q24" s="66" t="str">
        <x:f>IF(C24="","",IF(L24=0,0,ROUNDUP(L24/M24,0)*M24))</x:f>
      </x:c>
      <x:c r="R24" s="66" t="str">
        <x:f>IF(C24="","",Q24*SUMIF('07_기준정보'!$B$5:$B$204,C24,'07_기준정보'!$F$5:$F$204))</x:f>
      </x:c>
      <x:c r="S24" s="58" t="str">
        <x:v>미검토</x:v>
      </x:c>
    </x:row>
    <x:row r="25">
      <x:c r="A25" s="69" t="str"/>
      <x:c r="B25" s="69" t="str"/>
      <x:c r="C25" s="58" t="str"/>
      <x:c r="D25" s="58" t="str"/>
      <x:c r="E25" s="58" t="str"/>
      <x:c r="F25" s="70"/>
      <x:c r="G25" s="70"/>
      <x:c r="H25" s="70"/>
      <x:c r="I25" s="70"/>
      <x:c r="J25" s="70"/>
      <x:c r="K25" s="66" t="str">
        <x:f>IF(C25="","",MAX(0,H25-I25+J25))</x:f>
      </x:c>
      <x:c r="L25" s="66" t="str">
        <x:f>IF(C25="","",MAX(0,F25+G25-K25))</x:f>
      </x:c>
      <x:c r="M25" s="66"/>
      <x:c r="N25" s="66" t="str">
        <x:f>IF(C25="","",F25*(1-0.2))</x:f>
      </x:c>
      <x:c r="O25" s="66" t="str">
        <x:f>IF(C25="","",F25*(1+0.2))</x:f>
      </x:c>
      <x:c r="P25" s="60" t="str">
        <x:f>IF(C25="","",IF(L25=0,"정상",IF(L25&lt;N25,"Flex 미달",IF(L25&gt;O25,"Flex 초과","정상"))))</x:f>
      </x:c>
      <x:c r="Q25" s="66" t="str">
        <x:f>IF(C25="","",IF(L25=0,0,ROUNDUP(L25/M25,0)*M25))</x:f>
      </x:c>
      <x:c r="R25" s="66" t="str">
        <x:f>IF(C25="","",Q25*SUMIF('07_기준정보'!$B$5:$B$204,C25,'07_기준정보'!$F$5:$F$204))</x:f>
      </x:c>
      <x:c r="S25" s="58" t="str">
        <x:v>미검토</x:v>
      </x:c>
    </x:row>
    <x:row r="26">
      <x:c r="A26" s="69" t="str"/>
      <x:c r="B26" s="69" t="str"/>
      <x:c r="C26" s="58" t="str"/>
      <x:c r="D26" s="58" t="str"/>
      <x:c r="E26" s="58" t="str"/>
      <x:c r="F26" s="70"/>
      <x:c r="G26" s="70"/>
      <x:c r="H26" s="70"/>
      <x:c r="I26" s="70"/>
      <x:c r="J26" s="70"/>
      <x:c r="K26" s="66" t="str">
        <x:f>IF(C26="","",MAX(0,H26-I26+J26))</x:f>
      </x:c>
      <x:c r="L26" s="66" t="str">
        <x:f>IF(C26="","",MAX(0,F26+G26-K26))</x:f>
      </x:c>
      <x:c r="M26" s="66"/>
      <x:c r="N26" s="66" t="str">
        <x:f>IF(C26="","",F26*(1-0.2))</x:f>
      </x:c>
      <x:c r="O26" s="66" t="str">
        <x:f>IF(C26="","",F26*(1+0.2))</x:f>
      </x:c>
      <x:c r="P26" s="60" t="str">
        <x:f>IF(C26="","",IF(L26=0,"정상",IF(L26&lt;N26,"Flex 미달",IF(L26&gt;O26,"Flex 초과","정상"))))</x:f>
      </x:c>
      <x:c r="Q26" s="66" t="str">
        <x:f>IF(C26="","",IF(L26=0,0,ROUNDUP(L26/M26,0)*M26))</x:f>
      </x:c>
      <x:c r="R26" s="66" t="str">
        <x:f>IF(C26="","",Q26*SUMIF('07_기준정보'!$B$5:$B$204,C26,'07_기준정보'!$F$5:$F$204))</x:f>
      </x:c>
      <x:c r="S26" s="58" t="str">
        <x:v>미검토</x:v>
      </x:c>
    </x:row>
    <x:row r="27">
      <x:c r="A27" s="69" t="str"/>
      <x:c r="B27" s="69" t="str"/>
      <x:c r="C27" s="58" t="str"/>
      <x:c r="D27" s="58" t="str"/>
      <x:c r="E27" s="58" t="str"/>
      <x:c r="F27" s="70"/>
      <x:c r="G27" s="70"/>
      <x:c r="H27" s="70"/>
      <x:c r="I27" s="70"/>
      <x:c r="J27" s="70"/>
      <x:c r="K27" s="66" t="str">
        <x:f>IF(C27="","",MAX(0,H27-I27+J27))</x:f>
      </x:c>
      <x:c r="L27" s="66" t="str">
        <x:f>IF(C27="","",MAX(0,F27+G27-K27))</x:f>
      </x:c>
      <x:c r="M27" s="66"/>
      <x:c r="N27" s="66" t="str">
        <x:f>IF(C27="","",F27*(1-0.2))</x:f>
      </x:c>
      <x:c r="O27" s="66" t="str">
        <x:f>IF(C27="","",F27*(1+0.2))</x:f>
      </x:c>
      <x:c r="P27" s="60" t="str">
        <x:f>IF(C27="","",IF(L27=0,"정상",IF(L27&lt;N27,"Flex 미달",IF(L27&gt;O27,"Flex 초과","정상"))))</x:f>
      </x:c>
      <x:c r="Q27" s="66" t="str">
        <x:f>IF(C27="","",IF(L27=0,0,ROUNDUP(L27/M27,0)*M27))</x:f>
      </x:c>
      <x:c r="R27" s="66" t="str">
        <x:f>IF(C27="","",Q27*SUMIF('07_기준정보'!$B$5:$B$204,C27,'07_기준정보'!$F$5:$F$204))</x:f>
      </x:c>
      <x:c r="S27" s="58" t="str">
        <x:v>미검토</x:v>
      </x:c>
    </x:row>
    <x:row r="28">
      <x:c r="A28" s="69" t="str"/>
      <x:c r="B28" s="69" t="str"/>
      <x:c r="C28" s="58" t="str"/>
      <x:c r="D28" s="58" t="str"/>
      <x:c r="E28" s="58" t="str"/>
      <x:c r="F28" s="70"/>
      <x:c r="G28" s="70"/>
      <x:c r="H28" s="70"/>
      <x:c r="I28" s="70"/>
      <x:c r="J28" s="70"/>
      <x:c r="K28" s="66" t="str">
        <x:f>IF(C28="","",MAX(0,H28-I28+J28))</x:f>
      </x:c>
      <x:c r="L28" s="66" t="str">
        <x:f>IF(C28="","",MAX(0,F28+G28-K28))</x:f>
      </x:c>
      <x:c r="M28" s="66"/>
      <x:c r="N28" s="66" t="str">
        <x:f>IF(C28="","",F28*(1-0.2))</x:f>
      </x:c>
      <x:c r="O28" s="66" t="str">
        <x:f>IF(C28="","",F28*(1+0.2))</x:f>
      </x:c>
      <x:c r="P28" s="60" t="str">
        <x:f>IF(C28="","",IF(L28=0,"정상",IF(L28&lt;N28,"Flex 미달",IF(L28&gt;O28,"Flex 초과","정상"))))</x:f>
      </x:c>
      <x:c r="Q28" s="66" t="str">
        <x:f>IF(C28="","",IF(L28=0,0,ROUNDUP(L28/M28,0)*M28))</x:f>
      </x:c>
      <x:c r="R28" s="66" t="str">
        <x:f>IF(C28="","",Q28*SUMIF('07_기준정보'!$B$5:$B$204,C28,'07_기준정보'!$F$5:$F$204))</x:f>
      </x:c>
      <x:c r="S28" s="58" t="str">
        <x:v>미검토</x:v>
      </x:c>
    </x:row>
    <x:row r="29">
      <x:c r="A29" s="69" t="str"/>
      <x:c r="B29" s="69" t="str"/>
      <x:c r="C29" s="58" t="str"/>
      <x:c r="D29" s="58" t="str"/>
      <x:c r="E29" s="58" t="str"/>
      <x:c r="F29" s="70"/>
      <x:c r="G29" s="70"/>
      <x:c r="H29" s="70"/>
      <x:c r="I29" s="70"/>
      <x:c r="J29" s="70"/>
      <x:c r="K29" s="66" t="str">
        <x:f>IF(C29="","",MAX(0,H29-I29+J29))</x:f>
      </x:c>
      <x:c r="L29" s="66" t="str">
        <x:f>IF(C29="","",MAX(0,F29+G29-K29))</x:f>
      </x:c>
      <x:c r="M29" s="66"/>
      <x:c r="N29" s="66" t="str">
        <x:f>IF(C29="","",F29*(1-0.2))</x:f>
      </x:c>
      <x:c r="O29" s="66" t="str">
        <x:f>IF(C29="","",F29*(1+0.2))</x:f>
      </x:c>
      <x:c r="P29" s="60" t="str">
        <x:f>IF(C29="","",IF(L29=0,"정상",IF(L29&lt;N29,"Flex 미달",IF(L29&gt;O29,"Flex 초과","정상"))))</x:f>
      </x:c>
      <x:c r="Q29" s="66" t="str">
        <x:f>IF(C29="","",IF(L29=0,0,ROUNDUP(L29/M29,0)*M29))</x:f>
      </x:c>
      <x:c r="R29" s="66" t="str">
        <x:f>IF(C29="","",Q29*SUMIF('07_기준정보'!$B$5:$B$204,C29,'07_기준정보'!$F$5:$F$204))</x:f>
      </x:c>
      <x:c r="S29" s="58" t="str">
        <x:v>미검토</x:v>
      </x:c>
    </x:row>
    <x:row r="30">
      <x:c r="A30" s="69" t="str"/>
      <x:c r="B30" s="69" t="str"/>
      <x:c r="C30" s="58" t="str"/>
      <x:c r="D30" s="58" t="str"/>
      <x:c r="E30" s="58" t="str"/>
      <x:c r="F30" s="70"/>
      <x:c r="G30" s="70"/>
      <x:c r="H30" s="70"/>
      <x:c r="I30" s="70"/>
      <x:c r="J30" s="70"/>
      <x:c r="K30" s="66" t="str">
        <x:f>IF(C30="","",MAX(0,H30-I30+J30))</x:f>
      </x:c>
      <x:c r="L30" s="66" t="str">
        <x:f>IF(C30="","",MAX(0,F30+G30-K30))</x:f>
      </x:c>
      <x:c r="M30" s="66"/>
      <x:c r="N30" s="66" t="str">
        <x:f>IF(C30="","",F30*(1-0.2))</x:f>
      </x:c>
      <x:c r="O30" s="66" t="str">
        <x:f>IF(C30="","",F30*(1+0.2))</x:f>
      </x:c>
      <x:c r="P30" s="60" t="str">
        <x:f>IF(C30="","",IF(L30=0,"정상",IF(L30&lt;N30,"Flex 미달",IF(L30&gt;O30,"Flex 초과","정상"))))</x:f>
      </x:c>
      <x:c r="Q30" s="66" t="str">
        <x:f>IF(C30="","",IF(L30=0,0,ROUNDUP(L30/M30,0)*M30))</x:f>
      </x:c>
      <x:c r="R30" s="66" t="str">
        <x:f>IF(C30="","",Q30*SUMIF('07_기준정보'!$B$5:$B$204,C30,'07_기준정보'!$F$5:$F$204))</x:f>
      </x:c>
      <x:c r="S30" s="58" t="str">
        <x:v>미검토</x:v>
      </x:c>
    </x:row>
    <x:row r="31">
      <x:c r="A31" s="69" t="str"/>
      <x:c r="B31" s="69" t="str"/>
      <x:c r="C31" s="58" t="str"/>
      <x:c r="D31" s="58" t="str"/>
      <x:c r="E31" s="58" t="str"/>
      <x:c r="F31" s="70"/>
      <x:c r="G31" s="70"/>
      <x:c r="H31" s="70"/>
      <x:c r="I31" s="70"/>
      <x:c r="J31" s="70"/>
      <x:c r="K31" s="66" t="str">
        <x:f>IF(C31="","",MAX(0,H31-I31+J31))</x:f>
      </x:c>
      <x:c r="L31" s="66" t="str">
        <x:f>IF(C31="","",MAX(0,F31+G31-K31))</x:f>
      </x:c>
      <x:c r="M31" s="66"/>
      <x:c r="N31" s="66" t="str">
        <x:f>IF(C31="","",F31*(1-0.2))</x:f>
      </x:c>
      <x:c r="O31" s="66" t="str">
        <x:f>IF(C31="","",F31*(1+0.2))</x:f>
      </x:c>
      <x:c r="P31" s="60" t="str">
        <x:f>IF(C31="","",IF(L31=0,"정상",IF(L31&lt;N31,"Flex 미달",IF(L31&gt;O31,"Flex 초과","정상"))))</x:f>
      </x:c>
      <x:c r="Q31" s="66" t="str">
        <x:f>IF(C31="","",IF(L31=0,0,ROUNDUP(L31/M31,0)*M31))</x:f>
      </x:c>
      <x:c r="R31" s="66" t="str">
        <x:f>IF(C31="","",Q31*SUMIF('07_기준정보'!$B$5:$B$204,C31,'07_기준정보'!$F$5:$F$204))</x:f>
      </x:c>
      <x:c r="S31" s="58" t="str">
        <x:v>미검토</x:v>
      </x:c>
    </x:row>
    <x:row r="32">
      <x:c r="A32" s="69" t="str"/>
      <x:c r="B32" s="69" t="str"/>
      <x:c r="C32" s="58" t="str"/>
      <x:c r="D32" s="58" t="str"/>
      <x:c r="E32" s="58" t="str"/>
      <x:c r="F32" s="70"/>
      <x:c r="G32" s="70"/>
      <x:c r="H32" s="70"/>
      <x:c r="I32" s="70"/>
      <x:c r="J32" s="70"/>
      <x:c r="K32" s="66" t="str">
        <x:f>IF(C32="","",MAX(0,H32-I32+J32))</x:f>
      </x:c>
      <x:c r="L32" s="66" t="str">
        <x:f>IF(C32="","",MAX(0,F32+G32-K32))</x:f>
      </x:c>
      <x:c r="M32" s="66"/>
      <x:c r="N32" s="66" t="str">
        <x:f>IF(C32="","",F32*(1-0.2))</x:f>
      </x:c>
      <x:c r="O32" s="66" t="str">
        <x:f>IF(C32="","",F32*(1+0.2))</x:f>
      </x:c>
      <x:c r="P32" s="60" t="str">
        <x:f>IF(C32="","",IF(L32=0,"정상",IF(L32&lt;N32,"Flex 미달",IF(L32&gt;O32,"Flex 초과","정상"))))</x:f>
      </x:c>
      <x:c r="Q32" s="66" t="str">
        <x:f>IF(C32="","",IF(L32=0,0,ROUNDUP(L32/M32,0)*M32))</x:f>
      </x:c>
      <x:c r="R32" s="66" t="str">
        <x:f>IF(C32="","",Q32*SUMIF('07_기준정보'!$B$5:$B$204,C32,'07_기준정보'!$F$5:$F$204))</x:f>
      </x:c>
      <x:c r="S32" s="58" t="str">
        <x:v>미검토</x:v>
      </x:c>
    </x:row>
    <x:row r="33">
      <x:c r="A33" s="69" t="str"/>
      <x:c r="B33" s="69" t="str"/>
      <x:c r="C33" s="58" t="str"/>
      <x:c r="D33" s="58" t="str"/>
      <x:c r="E33" s="58" t="str"/>
      <x:c r="F33" s="70"/>
      <x:c r="G33" s="70"/>
      <x:c r="H33" s="70"/>
      <x:c r="I33" s="70"/>
      <x:c r="J33" s="70"/>
      <x:c r="K33" s="66" t="str">
        <x:f>IF(C33="","",MAX(0,H33-I33+J33))</x:f>
      </x:c>
      <x:c r="L33" s="66" t="str">
        <x:f>IF(C33="","",MAX(0,F33+G33-K33))</x:f>
      </x:c>
      <x:c r="M33" s="66"/>
      <x:c r="N33" s="66" t="str">
        <x:f>IF(C33="","",F33*(1-0.2))</x:f>
      </x:c>
      <x:c r="O33" s="66" t="str">
        <x:f>IF(C33="","",F33*(1+0.2))</x:f>
      </x:c>
      <x:c r="P33" s="60" t="str">
        <x:f>IF(C33="","",IF(L33=0,"정상",IF(L33&lt;N33,"Flex 미달",IF(L33&gt;O33,"Flex 초과","정상"))))</x:f>
      </x:c>
      <x:c r="Q33" s="66" t="str">
        <x:f>IF(C33="","",IF(L33=0,0,ROUNDUP(L33/M33,0)*M33))</x:f>
      </x:c>
      <x:c r="R33" s="66" t="str">
        <x:f>IF(C33="","",Q33*SUMIF('07_기준정보'!$B$5:$B$204,C33,'07_기준정보'!$F$5:$F$204))</x:f>
      </x:c>
      <x:c r="S33" s="58" t="str">
        <x:v>미검토</x:v>
      </x:c>
    </x:row>
    <x:row r="34">
      <x:c r="A34" s="69" t="str"/>
      <x:c r="B34" s="69" t="str"/>
      <x:c r="C34" s="58" t="str"/>
      <x:c r="D34" s="58" t="str"/>
      <x:c r="E34" s="58" t="str"/>
      <x:c r="F34" s="70"/>
      <x:c r="G34" s="70"/>
      <x:c r="H34" s="70"/>
      <x:c r="I34" s="70"/>
      <x:c r="J34" s="70"/>
      <x:c r="K34" s="66" t="str">
        <x:f>IF(C34="","",MAX(0,H34-I34+J34))</x:f>
      </x:c>
      <x:c r="L34" s="66" t="str">
        <x:f>IF(C34="","",MAX(0,F34+G34-K34))</x:f>
      </x:c>
      <x:c r="M34" s="66"/>
      <x:c r="N34" s="66" t="str">
        <x:f>IF(C34="","",F34*(1-0.2))</x:f>
      </x:c>
      <x:c r="O34" s="66" t="str">
        <x:f>IF(C34="","",F34*(1+0.2))</x:f>
      </x:c>
      <x:c r="P34" s="60" t="str">
        <x:f>IF(C34="","",IF(L34=0,"정상",IF(L34&lt;N34,"Flex 미달",IF(L34&gt;O34,"Flex 초과","정상"))))</x:f>
      </x:c>
      <x:c r="Q34" s="66" t="str">
        <x:f>IF(C34="","",IF(L34=0,0,ROUNDUP(L34/M34,0)*M34))</x:f>
      </x:c>
      <x:c r="R34" s="66" t="str">
        <x:f>IF(C34="","",Q34*SUMIF('07_기준정보'!$B$5:$B$204,C34,'07_기준정보'!$F$5:$F$204))</x:f>
      </x:c>
      <x:c r="S34" s="58" t="str">
        <x:v>미검토</x:v>
      </x:c>
    </x:row>
    <x:row r="35">
      <x:c r="A35" s="69" t="str"/>
      <x:c r="B35" s="69" t="str"/>
      <x:c r="C35" s="58" t="str"/>
      <x:c r="D35" s="58" t="str"/>
      <x:c r="E35" s="58" t="str"/>
      <x:c r="F35" s="70"/>
      <x:c r="G35" s="70"/>
      <x:c r="H35" s="70"/>
      <x:c r="I35" s="70"/>
      <x:c r="J35" s="70"/>
      <x:c r="K35" s="66" t="str">
        <x:f>IF(C35="","",MAX(0,H35-I35+J35))</x:f>
      </x:c>
      <x:c r="L35" s="66" t="str">
        <x:f>IF(C35="","",MAX(0,F35+G35-K35))</x:f>
      </x:c>
      <x:c r="M35" s="66"/>
      <x:c r="N35" s="66" t="str">
        <x:f>IF(C35="","",F35*(1-0.2))</x:f>
      </x:c>
      <x:c r="O35" s="66" t="str">
        <x:f>IF(C35="","",F35*(1+0.2))</x:f>
      </x:c>
      <x:c r="P35" s="60" t="str">
        <x:f>IF(C35="","",IF(L35=0,"정상",IF(L35&lt;N35,"Flex 미달",IF(L35&gt;O35,"Flex 초과","정상"))))</x:f>
      </x:c>
      <x:c r="Q35" s="66" t="str">
        <x:f>IF(C35="","",IF(L35=0,0,ROUNDUP(L35/M35,0)*M35))</x:f>
      </x:c>
      <x:c r="R35" s="66" t="str">
        <x:f>IF(C35="","",Q35*SUMIF('07_기준정보'!$B$5:$B$204,C35,'07_기준정보'!$F$5:$F$204))</x:f>
      </x:c>
      <x:c r="S35" s="58" t="str">
        <x:v>미검토</x:v>
      </x:c>
    </x:row>
    <x:row r="36">
      <x:c r="A36" s="69" t="str"/>
      <x:c r="B36" s="69" t="str"/>
      <x:c r="C36" s="58" t="str"/>
      <x:c r="D36" s="58" t="str"/>
      <x:c r="E36" s="58" t="str"/>
      <x:c r="F36" s="70"/>
      <x:c r="G36" s="70"/>
      <x:c r="H36" s="70"/>
      <x:c r="I36" s="70"/>
      <x:c r="J36" s="70"/>
      <x:c r="K36" s="66" t="str">
        <x:f>IF(C36="","",MAX(0,H36-I36+J36))</x:f>
      </x:c>
      <x:c r="L36" s="66" t="str">
        <x:f>IF(C36="","",MAX(0,F36+G36-K36))</x:f>
      </x:c>
      <x:c r="M36" s="66"/>
      <x:c r="N36" s="66" t="str">
        <x:f>IF(C36="","",F36*(1-0.2))</x:f>
      </x:c>
      <x:c r="O36" s="66" t="str">
        <x:f>IF(C36="","",F36*(1+0.2))</x:f>
      </x:c>
      <x:c r="P36" s="60" t="str">
        <x:f>IF(C36="","",IF(L36=0,"정상",IF(L36&lt;N36,"Flex 미달",IF(L36&gt;O36,"Flex 초과","정상"))))</x:f>
      </x:c>
      <x:c r="Q36" s="66" t="str">
        <x:f>IF(C36="","",IF(L36=0,0,ROUNDUP(L36/M36,0)*M36))</x:f>
      </x:c>
      <x:c r="R36" s="66" t="str">
        <x:f>IF(C36="","",Q36*SUMIF('07_기준정보'!$B$5:$B$204,C36,'07_기준정보'!$F$5:$F$204))</x:f>
      </x:c>
      <x:c r="S36" s="58" t="str">
        <x:v>미검토</x:v>
      </x:c>
    </x:row>
    <x:row r="37">
      <x:c r="A37" s="69" t="str"/>
      <x:c r="B37" s="69" t="str"/>
      <x:c r="C37" s="58" t="str"/>
      <x:c r="D37" s="58" t="str"/>
      <x:c r="E37" s="58" t="str"/>
      <x:c r="F37" s="70"/>
      <x:c r="G37" s="70"/>
      <x:c r="H37" s="70"/>
      <x:c r="I37" s="70"/>
      <x:c r="J37" s="70"/>
      <x:c r="K37" s="66" t="str">
        <x:f>IF(C37="","",MAX(0,H37-I37+J37))</x:f>
      </x:c>
      <x:c r="L37" s="66" t="str">
        <x:f>IF(C37="","",MAX(0,F37+G37-K37))</x:f>
      </x:c>
      <x:c r="M37" s="66"/>
      <x:c r="N37" s="66" t="str">
        <x:f>IF(C37="","",F37*(1-0.2))</x:f>
      </x:c>
      <x:c r="O37" s="66" t="str">
        <x:f>IF(C37="","",F37*(1+0.2))</x:f>
      </x:c>
      <x:c r="P37" s="60" t="str">
        <x:f>IF(C37="","",IF(L37=0,"정상",IF(L37&lt;N37,"Flex 미달",IF(L37&gt;O37,"Flex 초과","정상"))))</x:f>
      </x:c>
      <x:c r="Q37" s="66" t="str">
        <x:f>IF(C37="","",IF(L37=0,0,ROUNDUP(L37/M37,0)*M37))</x:f>
      </x:c>
      <x:c r="R37" s="66" t="str">
        <x:f>IF(C37="","",Q37*SUMIF('07_기준정보'!$B$5:$B$204,C37,'07_기준정보'!$F$5:$F$204))</x:f>
      </x:c>
      <x:c r="S37" s="58" t="str">
        <x:v>미검토</x:v>
      </x:c>
    </x:row>
    <x:row r="38">
      <x:c r="A38" s="69" t="str"/>
      <x:c r="B38" s="69" t="str"/>
      <x:c r="C38" s="58" t="str"/>
      <x:c r="D38" s="58" t="str"/>
      <x:c r="E38" s="58" t="str"/>
      <x:c r="F38" s="70"/>
      <x:c r="G38" s="70"/>
      <x:c r="H38" s="70"/>
      <x:c r="I38" s="70"/>
      <x:c r="J38" s="70"/>
      <x:c r="K38" s="66" t="str">
        <x:f>IF(C38="","",MAX(0,H38-I38+J38))</x:f>
      </x:c>
      <x:c r="L38" s="66" t="str">
        <x:f>IF(C38="","",MAX(0,F38+G38-K38))</x:f>
      </x:c>
      <x:c r="M38" s="66"/>
      <x:c r="N38" s="66" t="str">
        <x:f>IF(C38="","",F38*(1-0.2))</x:f>
      </x:c>
      <x:c r="O38" s="66" t="str">
        <x:f>IF(C38="","",F38*(1+0.2))</x:f>
      </x:c>
      <x:c r="P38" s="60" t="str">
        <x:f>IF(C38="","",IF(L38=0,"정상",IF(L38&lt;N38,"Flex 미달",IF(L38&gt;O38,"Flex 초과","정상"))))</x:f>
      </x:c>
      <x:c r="Q38" s="66" t="str">
        <x:f>IF(C38="","",IF(L38=0,0,ROUNDUP(L38/M38,0)*M38))</x:f>
      </x:c>
      <x:c r="R38" s="66" t="str">
        <x:f>IF(C38="","",Q38*SUMIF('07_기준정보'!$B$5:$B$204,C38,'07_기준정보'!$F$5:$F$204))</x:f>
      </x:c>
      <x:c r="S38" s="58" t="str">
        <x:v>미검토</x:v>
      </x:c>
    </x:row>
    <x:row r="39">
      <x:c r="A39" s="69" t="str"/>
      <x:c r="B39" s="69" t="str"/>
      <x:c r="C39" s="58" t="str"/>
      <x:c r="D39" s="58" t="str"/>
      <x:c r="E39" s="58" t="str"/>
      <x:c r="F39" s="70"/>
      <x:c r="G39" s="70"/>
      <x:c r="H39" s="70"/>
      <x:c r="I39" s="70"/>
      <x:c r="J39" s="70"/>
      <x:c r="K39" s="66" t="str">
        <x:f>IF(C39="","",MAX(0,H39-I39+J39))</x:f>
      </x:c>
      <x:c r="L39" s="66" t="str">
        <x:f>IF(C39="","",MAX(0,F39+G39-K39))</x:f>
      </x:c>
      <x:c r="M39" s="66"/>
      <x:c r="N39" s="66" t="str">
        <x:f>IF(C39="","",F39*(1-0.2))</x:f>
      </x:c>
      <x:c r="O39" s="66" t="str">
        <x:f>IF(C39="","",F39*(1+0.2))</x:f>
      </x:c>
      <x:c r="P39" s="60" t="str">
        <x:f>IF(C39="","",IF(L39=0,"정상",IF(L39&lt;N39,"Flex 미달",IF(L39&gt;O39,"Flex 초과","정상"))))</x:f>
      </x:c>
      <x:c r="Q39" s="66" t="str">
        <x:f>IF(C39="","",IF(L39=0,0,ROUNDUP(L39/M39,0)*M39))</x:f>
      </x:c>
      <x:c r="R39" s="66" t="str">
        <x:f>IF(C39="","",Q39*SUMIF('07_기준정보'!$B$5:$B$204,C39,'07_기준정보'!$F$5:$F$204))</x:f>
      </x:c>
      <x:c r="S39" s="58" t="str">
        <x:v>미검토</x:v>
      </x:c>
    </x:row>
    <x:row r="40">
      <x:c r="A40" s="69" t="str"/>
      <x:c r="B40" s="69" t="str"/>
      <x:c r="C40" s="58" t="str"/>
      <x:c r="D40" s="58" t="str"/>
      <x:c r="E40" s="58" t="str"/>
      <x:c r="F40" s="70"/>
      <x:c r="G40" s="70"/>
      <x:c r="H40" s="70"/>
      <x:c r="I40" s="70"/>
      <x:c r="J40" s="70"/>
      <x:c r="K40" s="66" t="str">
        <x:f>IF(C40="","",MAX(0,H40-I40+J40))</x:f>
      </x:c>
      <x:c r="L40" s="66" t="str">
        <x:f>IF(C40="","",MAX(0,F40+G40-K40))</x:f>
      </x:c>
      <x:c r="M40" s="66"/>
      <x:c r="N40" s="66" t="str">
        <x:f>IF(C40="","",F40*(1-0.2))</x:f>
      </x:c>
      <x:c r="O40" s="66" t="str">
        <x:f>IF(C40="","",F40*(1+0.2))</x:f>
      </x:c>
      <x:c r="P40" s="60" t="str">
        <x:f>IF(C40="","",IF(L40=0,"정상",IF(L40&lt;N40,"Flex 미달",IF(L40&gt;O40,"Flex 초과","정상"))))</x:f>
      </x:c>
      <x:c r="Q40" s="66" t="str">
        <x:f>IF(C40="","",IF(L40=0,0,ROUNDUP(L40/M40,0)*M40))</x:f>
      </x:c>
      <x:c r="R40" s="66" t="str">
        <x:f>IF(C40="","",Q40*SUMIF('07_기준정보'!$B$5:$B$204,C40,'07_기준정보'!$F$5:$F$204))</x:f>
      </x:c>
      <x:c r="S40" s="58" t="str">
        <x:v>미검토</x:v>
      </x:c>
    </x:row>
    <x:row r="41">
      <x:c r="A41" s="69" t="str"/>
      <x:c r="B41" s="69" t="str"/>
      <x:c r="C41" s="58" t="str"/>
      <x:c r="D41" s="58" t="str"/>
      <x:c r="E41" s="58" t="str"/>
      <x:c r="F41" s="70"/>
      <x:c r="G41" s="70"/>
      <x:c r="H41" s="70"/>
      <x:c r="I41" s="70"/>
      <x:c r="J41" s="70"/>
      <x:c r="K41" s="66" t="str">
        <x:f>IF(C41="","",MAX(0,H41-I41+J41))</x:f>
      </x:c>
      <x:c r="L41" s="66" t="str">
        <x:f>IF(C41="","",MAX(0,F41+G41-K41))</x:f>
      </x:c>
      <x:c r="M41" s="66"/>
      <x:c r="N41" s="66" t="str">
        <x:f>IF(C41="","",F41*(1-0.2))</x:f>
      </x:c>
      <x:c r="O41" s="66" t="str">
        <x:f>IF(C41="","",F41*(1+0.2))</x:f>
      </x:c>
      <x:c r="P41" s="60" t="str">
        <x:f>IF(C41="","",IF(L41=0,"정상",IF(L41&lt;N41,"Flex 미달",IF(L41&gt;O41,"Flex 초과","정상"))))</x:f>
      </x:c>
      <x:c r="Q41" s="66" t="str">
        <x:f>IF(C41="","",IF(L41=0,0,ROUNDUP(L41/M41,0)*M41))</x:f>
      </x:c>
      <x:c r="R41" s="66" t="str">
        <x:f>IF(C41="","",Q41*SUMIF('07_기준정보'!$B$5:$B$204,C41,'07_기준정보'!$F$5:$F$204))</x:f>
      </x:c>
      <x:c r="S41" s="58" t="str">
        <x:v>미검토</x:v>
      </x:c>
    </x:row>
    <x:row r="42">
      <x:c r="A42" s="69" t="str"/>
      <x:c r="B42" s="69" t="str"/>
      <x:c r="C42" s="58" t="str"/>
      <x:c r="D42" s="58" t="str"/>
      <x:c r="E42" s="58" t="str"/>
      <x:c r="F42" s="70"/>
      <x:c r="G42" s="70"/>
      <x:c r="H42" s="70"/>
      <x:c r="I42" s="70"/>
      <x:c r="J42" s="70"/>
      <x:c r="K42" s="66" t="str">
        <x:f>IF(C42="","",MAX(0,H42-I42+J42))</x:f>
      </x:c>
      <x:c r="L42" s="66" t="str">
        <x:f>IF(C42="","",MAX(0,F42+G42-K42))</x:f>
      </x:c>
      <x:c r="M42" s="66"/>
      <x:c r="N42" s="66" t="str">
        <x:f>IF(C42="","",F42*(1-0.2))</x:f>
      </x:c>
      <x:c r="O42" s="66" t="str">
        <x:f>IF(C42="","",F42*(1+0.2))</x:f>
      </x:c>
      <x:c r="P42" s="60" t="str">
        <x:f>IF(C42="","",IF(L42=0,"정상",IF(L42&lt;N42,"Flex 미달",IF(L42&gt;O42,"Flex 초과","정상"))))</x:f>
      </x:c>
      <x:c r="Q42" s="66" t="str">
        <x:f>IF(C42="","",IF(L42=0,0,ROUNDUP(L42/M42,0)*M42))</x:f>
      </x:c>
      <x:c r="R42" s="66" t="str">
        <x:f>IF(C42="","",Q42*SUMIF('07_기준정보'!$B$5:$B$204,C42,'07_기준정보'!$F$5:$F$204))</x:f>
      </x:c>
      <x:c r="S42" s="58" t="str">
        <x:v>미검토</x:v>
      </x:c>
    </x:row>
    <x:row r="43">
      <x:c r="A43" s="69" t="str"/>
      <x:c r="B43" s="69" t="str"/>
      <x:c r="C43" s="58" t="str"/>
      <x:c r="D43" s="58" t="str"/>
      <x:c r="E43" s="58" t="str"/>
      <x:c r="F43" s="70"/>
      <x:c r="G43" s="70"/>
      <x:c r="H43" s="70"/>
      <x:c r="I43" s="70"/>
      <x:c r="J43" s="70"/>
      <x:c r="K43" s="66" t="str">
        <x:f>IF(C43="","",MAX(0,H43-I43+J43))</x:f>
      </x:c>
      <x:c r="L43" s="66" t="str">
        <x:f>IF(C43="","",MAX(0,F43+G43-K43))</x:f>
      </x:c>
      <x:c r="M43" s="66"/>
      <x:c r="N43" s="66" t="str">
        <x:f>IF(C43="","",F43*(1-0.2))</x:f>
      </x:c>
      <x:c r="O43" s="66" t="str">
        <x:f>IF(C43="","",F43*(1+0.2))</x:f>
      </x:c>
      <x:c r="P43" s="60" t="str">
        <x:f>IF(C43="","",IF(L43=0,"정상",IF(L43&lt;N43,"Flex 미달",IF(L43&gt;O43,"Flex 초과","정상"))))</x:f>
      </x:c>
      <x:c r="Q43" s="66" t="str">
        <x:f>IF(C43="","",IF(L43=0,0,ROUNDUP(L43/M43,0)*M43))</x:f>
      </x:c>
      <x:c r="R43" s="66" t="str">
        <x:f>IF(C43="","",Q43*SUMIF('07_기준정보'!$B$5:$B$204,C43,'07_기준정보'!$F$5:$F$204))</x:f>
      </x:c>
      <x:c r="S43" s="58" t="str">
        <x:v>미검토</x:v>
      </x:c>
    </x:row>
    <x:row r="44">
      <x:c r="A44" s="69" t="str"/>
      <x:c r="B44" s="69" t="str"/>
      <x:c r="C44" s="58" t="str"/>
      <x:c r="D44" s="58" t="str"/>
      <x:c r="E44" s="58" t="str"/>
      <x:c r="F44" s="70"/>
      <x:c r="G44" s="70"/>
      <x:c r="H44" s="70"/>
      <x:c r="I44" s="70"/>
      <x:c r="J44" s="70"/>
      <x:c r="K44" s="66" t="str">
        <x:f>IF(C44="","",MAX(0,H44-I44+J44))</x:f>
      </x:c>
      <x:c r="L44" s="66" t="str">
        <x:f>IF(C44="","",MAX(0,F44+G44-K44))</x:f>
      </x:c>
      <x:c r="M44" s="66"/>
      <x:c r="N44" s="66" t="str">
        <x:f>IF(C44="","",F44*(1-0.2))</x:f>
      </x:c>
      <x:c r="O44" s="66" t="str">
        <x:f>IF(C44="","",F44*(1+0.2))</x:f>
      </x:c>
      <x:c r="P44" s="60" t="str">
        <x:f>IF(C44="","",IF(L44=0,"정상",IF(L44&lt;N44,"Flex 미달",IF(L44&gt;O44,"Flex 초과","정상"))))</x:f>
      </x:c>
      <x:c r="Q44" s="66" t="str">
        <x:f>IF(C44="","",IF(L44=0,0,ROUNDUP(L44/M44,0)*M44))</x:f>
      </x:c>
      <x:c r="R44" s="66" t="str">
        <x:f>IF(C44="","",Q44*SUMIF('07_기준정보'!$B$5:$B$204,C44,'07_기준정보'!$F$5:$F$204))</x:f>
      </x:c>
      <x:c r="S44" s="58" t="str">
        <x:v>미검토</x:v>
      </x:c>
    </x:row>
    <x:row r="45">
      <x:c r="A45" s="69" t="str"/>
      <x:c r="B45" s="69" t="str"/>
      <x:c r="C45" s="58" t="str"/>
      <x:c r="D45" s="58" t="str"/>
      <x:c r="E45" s="58" t="str"/>
      <x:c r="F45" s="70"/>
      <x:c r="G45" s="70"/>
      <x:c r="H45" s="70"/>
      <x:c r="I45" s="70"/>
      <x:c r="J45" s="70"/>
      <x:c r="K45" s="66" t="str">
        <x:f>IF(C45="","",MAX(0,H45-I45+J45))</x:f>
      </x:c>
      <x:c r="L45" s="66" t="str">
        <x:f>IF(C45="","",MAX(0,F45+G45-K45))</x:f>
      </x:c>
      <x:c r="M45" s="66"/>
      <x:c r="N45" s="66" t="str">
        <x:f>IF(C45="","",F45*(1-0.2))</x:f>
      </x:c>
      <x:c r="O45" s="66" t="str">
        <x:f>IF(C45="","",F45*(1+0.2))</x:f>
      </x:c>
      <x:c r="P45" s="60" t="str">
        <x:f>IF(C45="","",IF(L45=0,"정상",IF(L45&lt;N45,"Flex 미달",IF(L45&gt;O45,"Flex 초과","정상"))))</x:f>
      </x:c>
      <x:c r="Q45" s="66" t="str">
        <x:f>IF(C45="","",IF(L45=0,0,ROUNDUP(L45/M45,0)*M45))</x:f>
      </x:c>
      <x:c r="R45" s="66" t="str">
        <x:f>IF(C45="","",Q45*SUMIF('07_기준정보'!$B$5:$B$204,C45,'07_기준정보'!$F$5:$F$204))</x:f>
      </x:c>
      <x:c r="S45" s="58" t="str">
        <x:v>미검토</x:v>
      </x:c>
    </x:row>
    <x:row r="46">
      <x:c r="A46" s="69" t="str"/>
      <x:c r="B46" s="69" t="str"/>
      <x:c r="C46" s="58" t="str"/>
      <x:c r="D46" s="58" t="str"/>
      <x:c r="E46" s="58" t="str"/>
      <x:c r="F46" s="70"/>
      <x:c r="G46" s="70"/>
      <x:c r="H46" s="70"/>
      <x:c r="I46" s="70"/>
      <x:c r="J46" s="70"/>
      <x:c r="K46" s="66" t="str">
        <x:f>IF(C46="","",MAX(0,H46-I46+J46))</x:f>
      </x:c>
      <x:c r="L46" s="66" t="str">
        <x:f>IF(C46="","",MAX(0,F46+G46-K46))</x:f>
      </x:c>
      <x:c r="M46" s="66"/>
      <x:c r="N46" s="66" t="str">
        <x:f>IF(C46="","",F46*(1-0.2))</x:f>
      </x:c>
      <x:c r="O46" s="66" t="str">
        <x:f>IF(C46="","",F46*(1+0.2))</x:f>
      </x:c>
      <x:c r="P46" s="60" t="str">
        <x:f>IF(C46="","",IF(L46=0,"정상",IF(L46&lt;N46,"Flex 미달",IF(L46&gt;O46,"Flex 초과","정상"))))</x:f>
      </x:c>
      <x:c r="Q46" s="66" t="str">
        <x:f>IF(C46="","",IF(L46=0,0,ROUNDUP(L46/M46,0)*M46))</x:f>
      </x:c>
      <x:c r="R46" s="66" t="str">
        <x:f>IF(C46="","",Q46*SUMIF('07_기준정보'!$B$5:$B$204,C46,'07_기준정보'!$F$5:$F$204))</x:f>
      </x:c>
      <x:c r="S46" s="58" t="str">
        <x:v>미검토</x:v>
      </x:c>
    </x:row>
    <x:row r="47">
      <x:c r="A47" s="69" t="str"/>
      <x:c r="B47" s="69" t="str"/>
      <x:c r="C47" s="58" t="str"/>
      <x:c r="D47" s="58" t="str"/>
      <x:c r="E47" s="58" t="str"/>
      <x:c r="F47" s="70"/>
      <x:c r="G47" s="70"/>
      <x:c r="H47" s="70"/>
      <x:c r="I47" s="70"/>
      <x:c r="J47" s="70"/>
      <x:c r="K47" s="66" t="str">
        <x:f>IF(C47="","",MAX(0,H47-I47+J47))</x:f>
      </x:c>
      <x:c r="L47" s="66" t="str">
        <x:f>IF(C47="","",MAX(0,F47+G47-K47))</x:f>
      </x:c>
      <x:c r="M47" s="66"/>
      <x:c r="N47" s="66" t="str">
        <x:f>IF(C47="","",F47*(1-0.2))</x:f>
      </x:c>
      <x:c r="O47" s="66" t="str">
        <x:f>IF(C47="","",F47*(1+0.2))</x:f>
      </x:c>
      <x:c r="P47" s="60" t="str">
        <x:f>IF(C47="","",IF(L47=0,"정상",IF(L47&lt;N47,"Flex 미달",IF(L47&gt;O47,"Flex 초과","정상"))))</x:f>
      </x:c>
      <x:c r="Q47" s="66" t="str">
        <x:f>IF(C47="","",IF(L47=0,0,ROUNDUP(L47/M47,0)*M47))</x:f>
      </x:c>
      <x:c r="R47" s="66" t="str">
        <x:f>IF(C47="","",Q47*SUMIF('07_기준정보'!$B$5:$B$204,C47,'07_기준정보'!$F$5:$F$204))</x:f>
      </x:c>
      <x:c r="S47" s="58" t="str">
        <x:v>미검토</x:v>
      </x:c>
    </x:row>
    <x:row r="48">
      <x:c r="A48" s="69" t="str"/>
      <x:c r="B48" s="69" t="str"/>
      <x:c r="C48" s="58" t="str"/>
      <x:c r="D48" s="58" t="str"/>
      <x:c r="E48" s="58" t="str"/>
      <x:c r="F48" s="70"/>
      <x:c r="G48" s="70"/>
      <x:c r="H48" s="70"/>
      <x:c r="I48" s="70"/>
      <x:c r="J48" s="70"/>
      <x:c r="K48" s="66" t="str">
        <x:f>IF(C48="","",MAX(0,H48-I48+J48))</x:f>
      </x:c>
      <x:c r="L48" s="66" t="str">
        <x:f>IF(C48="","",MAX(0,F48+G48-K48))</x:f>
      </x:c>
      <x:c r="M48" s="66"/>
      <x:c r="N48" s="66" t="str">
        <x:f>IF(C48="","",F48*(1-0.2))</x:f>
      </x:c>
      <x:c r="O48" s="66" t="str">
        <x:f>IF(C48="","",F48*(1+0.2))</x:f>
      </x:c>
      <x:c r="P48" s="60" t="str">
        <x:f>IF(C48="","",IF(L48=0,"정상",IF(L48&lt;N48,"Flex 미달",IF(L48&gt;O48,"Flex 초과","정상"))))</x:f>
      </x:c>
      <x:c r="Q48" s="66" t="str">
        <x:f>IF(C48="","",IF(L48=0,0,ROUNDUP(L48/M48,0)*M48))</x:f>
      </x:c>
      <x:c r="R48" s="66" t="str">
        <x:f>IF(C48="","",Q48*SUMIF('07_기준정보'!$B$5:$B$204,C48,'07_기준정보'!$F$5:$F$204))</x:f>
      </x:c>
      <x:c r="S48" s="58" t="str">
        <x:v>미검토</x:v>
      </x:c>
    </x:row>
    <x:row r="49">
      <x:c r="A49" s="69" t="str"/>
      <x:c r="B49" s="69" t="str"/>
      <x:c r="C49" s="58" t="str"/>
      <x:c r="D49" s="58" t="str"/>
      <x:c r="E49" s="58" t="str"/>
      <x:c r="F49" s="70"/>
      <x:c r="G49" s="70"/>
      <x:c r="H49" s="70"/>
      <x:c r="I49" s="70"/>
      <x:c r="J49" s="70"/>
      <x:c r="K49" s="66" t="str">
        <x:f>IF(C49="","",MAX(0,H49-I49+J49))</x:f>
      </x:c>
      <x:c r="L49" s="66" t="str">
        <x:f>IF(C49="","",MAX(0,F49+G49-K49))</x:f>
      </x:c>
      <x:c r="M49" s="66"/>
      <x:c r="N49" s="66" t="str">
        <x:f>IF(C49="","",F49*(1-0.2))</x:f>
      </x:c>
      <x:c r="O49" s="66" t="str">
        <x:f>IF(C49="","",F49*(1+0.2))</x:f>
      </x:c>
      <x:c r="P49" s="60" t="str">
        <x:f>IF(C49="","",IF(L49=0,"정상",IF(L49&lt;N49,"Flex 미달",IF(L49&gt;O49,"Flex 초과","정상"))))</x:f>
      </x:c>
      <x:c r="Q49" s="66" t="str">
        <x:f>IF(C49="","",IF(L49=0,0,ROUNDUP(L49/M49,0)*M49))</x:f>
      </x:c>
      <x:c r="R49" s="66" t="str">
        <x:f>IF(C49="","",Q49*SUMIF('07_기준정보'!$B$5:$B$204,C49,'07_기준정보'!$F$5:$F$204))</x:f>
      </x:c>
      <x:c r="S49" s="58" t="str">
        <x:v>미검토</x:v>
      </x:c>
    </x:row>
    <x:row r="50">
      <x:c r="A50" s="69" t="str"/>
      <x:c r="B50" s="69" t="str"/>
      <x:c r="C50" s="58" t="str"/>
      <x:c r="D50" s="58" t="str"/>
      <x:c r="E50" s="58" t="str"/>
      <x:c r="F50" s="70"/>
      <x:c r="G50" s="70"/>
      <x:c r="H50" s="70"/>
      <x:c r="I50" s="70"/>
      <x:c r="J50" s="70"/>
      <x:c r="K50" s="66" t="str">
        <x:f>IF(C50="","",MAX(0,H50-I50+J50))</x:f>
      </x:c>
      <x:c r="L50" s="66" t="str">
        <x:f>IF(C50="","",MAX(0,F50+G50-K50))</x:f>
      </x:c>
      <x:c r="M50" s="66"/>
      <x:c r="N50" s="66" t="str">
        <x:f>IF(C50="","",F50*(1-0.2))</x:f>
      </x:c>
      <x:c r="O50" s="66" t="str">
        <x:f>IF(C50="","",F50*(1+0.2))</x:f>
      </x:c>
      <x:c r="P50" s="60" t="str">
        <x:f>IF(C50="","",IF(L50=0,"정상",IF(L50&lt;N50,"Flex 미달",IF(L50&gt;O50,"Flex 초과","정상"))))</x:f>
      </x:c>
      <x:c r="Q50" s="66" t="str">
        <x:f>IF(C50="","",IF(L50=0,0,ROUNDUP(L50/M50,0)*M50))</x:f>
      </x:c>
      <x:c r="R50" s="66" t="str">
        <x:f>IF(C50="","",Q50*SUMIF('07_기준정보'!$B$5:$B$204,C50,'07_기준정보'!$F$5:$F$204))</x:f>
      </x:c>
      <x:c r="S50" s="58" t="str">
        <x:v>미검토</x:v>
      </x:c>
    </x:row>
    <x:row r="51">
      <x:c r="A51" s="69" t="str"/>
      <x:c r="B51" s="69" t="str"/>
      <x:c r="C51" s="58" t="str"/>
      <x:c r="D51" s="58" t="str"/>
      <x:c r="E51" s="58" t="str"/>
      <x:c r="F51" s="70"/>
      <x:c r="G51" s="70"/>
      <x:c r="H51" s="70"/>
      <x:c r="I51" s="70"/>
      <x:c r="J51" s="70"/>
      <x:c r="K51" s="66" t="str">
        <x:f>IF(C51="","",MAX(0,H51-I51+J51))</x:f>
      </x:c>
      <x:c r="L51" s="66" t="str">
        <x:f>IF(C51="","",MAX(0,F51+G51-K51))</x:f>
      </x:c>
      <x:c r="M51" s="66"/>
      <x:c r="N51" s="66" t="str">
        <x:f>IF(C51="","",F51*(1-0.2))</x:f>
      </x:c>
      <x:c r="O51" s="66" t="str">
        <x:f>IF(C51="","",F51*(1+0.2))</x:f>
      </x:c>
      <x:c r="P51" s="60" t="str">
        <x:f>IF(C51="","",IF(L51=0,"정상",IF(L51&lt;N51,"Flex 미달",IF(L51&gt;O51,"Flex 초과","정상"))))</x:f>
      </x:c>
      <x:c r="Q51" s="66" t="str">
        <x:f>IF(C51="","",IF(L51=0,0,ROUNDUP(L51/M51,0)*M51))</x:f>
      </x:c>
      <x:c r="R51" s="66" t="str">
        <x:f>IF(C51="","",Q51*SUMIF('07_기준정보'!$B$5:$B$204,C51,'07_기준정보'!$F$5:$F$204))</x:f>
      </x:c>
      <x:c r="S51" s="58" t="str">
        <x:v>미검토</x:v>
      </x:c>
    </x:row>
    <x:row r="52">
      <x:c r="A52" s="69" t="str"/>
      <x:c r="B52" s="69" t="str"/>
      <x:c r="C52" s="58" t="str"/>
      <x:c r="D52" s="58" t="str"/>
      <x:c r="E52" s="58" t="str"/>
      <x:c r="F52" s="70"/>
      <x:c r="G52" s="70"/>
      <x:c r="H52" s="70"/>
      <x:c r="I52" s="70"/>
      <x:c r="J52" s="70"/>
      <x:c r="K52" s="66" t="str">
        <x:f>IF(C52="","",MAX(0,H52-I52+J52))</x:f>
      </x:c>
      <x:c r="L52" s="66" t="str">
        <x:f>IF(C52="","",MAX(0,F52+G52-K52))</x:f>
      </x:c>
      <x:c r="M52" s="66"/>
      <x:c r="N52" s="66" t="str">
        <x:f>IF(C52="","",F52*(1-0.2))</x:f>
      </x:c>
      <x:c r="O52" s="66" t="str">
        <x:f>IF(C52="","",F52*(1+0.2))</x:f>
      </x:c>
      <x:c r="P52" s="60" t="str">
        <x:f>IF(C52="","",IF(L52=0,"정상",IF(L52&lt;N52,"Flex 미달",IF(L52&gt;O52,"Flex 초과","정상"))))</x:f>
      </x:c>
      <x:c r="Q52" s="66" t="str">
        <x:f>IF(C52="","",IF(L52=0,0,ROUNDUP(L52/M52,0)*M52))</x:f>
      </x:c>
      <x:c r="R52" s="66" t="str">
        <x:f>IF(C52="","",Q52*SUMIF('07_기준정보'!$B$5:$B$204,C52,'07_기준정보'!$F$5:$F$204))</x:f>
      </x:c>
      <x:c r="S52" s="58" t="str">
        <x:v>미검토</x:v>
      </x:c>
    </x:row>
    <x:row r="53">
      <x:c r="A53" s="69" t="str"/>
      <x:c r="B53" s="69" t="str"/>
      <x:c r="C53" s="58" t="str"/>
      <x:c r="D53" s="58" t="str"/>
      <x:c r="E53" s="58" t="str"/>
      <x:c r="F53" s="70"/>
      <x:c r="G53" s="70"/>
      <x:c r="H53" s="70"/>
      <x:c r="I53" s="70"/>
      <x:c r="J53" s="70"/>
      <x:c r="K53" s="66" t="str">
        <x:f>IF(C53="","",MAX(0,H53-I53+J53))</x:f>
      </x:c>
      <x:c r="L53" s="66" t="str">
        <x:f>IF(C53="","",MAX(0,F53+G53-K53))</x:f>
      </x:c>
      <x:c r="M53" s="66"/>
      <x:c r="N53" s="66" t="str">
        <x:f>IF(C53="","",F53*(1-0.2))</x:f>
      </x:c>
      <x:c r="O53" s="66" t="str">
        <x:f>IF(C53="","",F53*(1+0.2))</x:f>
      </x:c>
      <x:c r="P53" s="60" t="str">
        <x:f>IF(C53="","",IF(L53=0,"정상",IF(L53&lt;N53,"Flex 미달",IF(L53&gt;O53,"Flex 초과","정상"))))</x:f>
      </x:c>
      <x:c r="Q53" s="66" t="str">
        <x:f>IF(C53="","",IF(L53=0,0,ROUNDUP(L53/M53,0)*M53))</x:f>
      </x:c>
      <x:c r="R53" s="66" t="str">
        <x:f>IF(C53="","",Q53*SUMIF('07_기준정보'!$B$5:$B$204,C53,'07_기준정보'!$F$5:$F$204))</x:f>
      </x:c>
      <x:c r="S53" s="58" t="str">
        <x:v>미검토</x:v>
      </x:c>
    </x:row>
    <x:row r="54">
      <x:c r="A54" s="69" t="str"/>
      <x:c r="B54" s="69" t="str"/>
      <x:c r="C54" s="58" t="str"/>
      <x:c r="D54" s="58" t="str"/>
      <x:c r="E54" s="58" t="str"/>
      <x:c r="F54" s="70"/>
      <x:c r="G54" s="70"/>
      <x:c r="H54" s="70"/>
      <x:c r="I54" s="70"/>
      <x:c r="J54" s="70"/>
      <x:c r="K54" s="66" t="str">
        <x:f>IF(C54="","",MAX(0,H54-I54+J54))</x:f>
      </x:c>
      <x:c r="L54" s="66" t="str">
        <x:f>IF(C54="","",MAX(0,F54+G54-K54))</x:f>
      </x:c>
      <x:c r="M54" s="66"/>
      <x:c r="N54" s="66" t="str">
        <x:f>IF(C54="","",F54*(1-0.2))</x:f>
      </x:c>
      <x:c r="O54" s="66" t="str">
        <x:f>IF(C54="","",F54*(1+0.2))</x:f>
      </x:c>
      <x:c r="P54" s="60" t="str">
        <x:f>IF(C54="","",IF(L54=0,"정상",IF(L54&lt;N54,"Flex 미달",IF(L54&gt;O54,"Flex 초과","정상"))))</x:f>
      </x:c>
      <x:c r="Q54" s="66" t="str">
        <x:f>IF(C54="","",IF(L54=0,0,ROUNDUP(L54/M54,0)*M54))</x:f>
      </x:c>
      <x:c r="R54" s="66" t="str">
        <x:f>IF(C54="","",Q54*SUMIF('07_기준정보'!$B$5:$B$204,C54,'07_기준정보'!$F$5:$F$204))</x:f>
      </x:c>
      <x:c r="S54" s="58" t="str">
        <x:v>미검토</x:v>
      </x:c>
    </x:row>
    <x:row r="55">
      <x:c r="A55" s="69" t="str"/>
      <x:c r="B55" s="69" t="str"/>
      <x:c r="C55" s="58" t="str"/>
      <x:c r="D55" s="58" t="str"/>
      <x:c r="E55" s="58" t="str"/>
      <x:c r="F55" s="70"/>
      <x:c r="G55" s="70"/>
      <x:c r="H55" s="70"/>
      <x:c r="I55" s="70"/>
      <x:c r="J55" s="70"/>
      <x:c r="K55" s="66" t="str">
        <x:f>IF(C55="","",MAX(0,H55-I55+J55))</x:f>
      </x:c>
      <x:c r="L55" s="66" t="str">
        <x:f>IF(C55="","",MAX(0,F55+G55-K55))</x:f>
      </x:c>
      <x:c r="M55" s="66"/>
      <x:c r="N55" s="66" t="str">
        <x:f>IF(C55="","",F55*(1-0.2))</x:f>
      </x:c>
      <x:c r="O55" s="66" t="str">
        <x:f>IF(C55="","",F55*(1+0.2))</x:f>
      </x:c>
      <x:c r="P55" s="60" t="str">
        <x:f>IF(C55="","",IF(L55=0,"정상",IF(L55&lt;N55,"Flex 미달",IF(L55&gt;O55,"Flex 초과","정상"))))</x:f>
      </x:c>
      <x:c r="Q55" s="66" t="str">
        <x:f>IF(C55="","",IF(L55=0,0,ROUNDUP(L55/M55,0)*M55))</x:f>
      </x:c>
      <x:c r="R55" s="66" t="str">
        <x:f>IF(C55="","",Q55*SUMIF('07_기준정보'!$B$5:$B$204,C55,'07_기준정보'!$F$5:$F$204))</x:f>
      </x:c>
      <x:c r="S55" s="58" t="str">
        <x:v>미검토</x:v>
      </x:c>
    </x:row>
    <x:row r="56">
      <x:c r="A56" s="69" t="str"/>
      <x:c r="B56" s="69" t="str"/>
      <x:c r="C56" s="58" t="str"/>
      <x:c r="D56" s="58" t="str"/>
      <x:c r="E56" s="58" t="str"/>
      <x:c r="F56" s="70"/>
      <x:c r="G56" s="70"/>
      <x:c r="H56" s="70"/>
      <x:c r="I56" s="70"/>
      <x:c r="J56" s="70"/>
      <x:c r="K56" s="66" t="str">
        <x:f>IF(C56="","",MAX(0,H56-I56+J56))</x:f>
      </x:c>
      <x:c r="L56" s="66" t="str">
        <x:f>IF(C56="","",MAX(0,F56+G56-K56))</x:f>
      </x:c>
      <x:c r="M56" s="66"/>
      <x:c r="N56" s="66" t="str">
        <x:f>IF(C56="","",F56*(1-0.2))</x:f>
      </x:c>
      <x:c r="O56" s="66" t="str">
        <x:f>IF(C56="","",F56*(1+0.2))</x:f>
      </x:c>
      <x:c r="P56" s="60" t="str">
        <x:f>IF(C56="","",IF(L56=0,"정상",IF(L56&lt;N56,"Flex 미달",IF(L56&gt;O56,"Flex 초과","정상"))))</x:f>
      </x:c>
      <x:c r="Q56" s="66" t="str">
        <x:f>IF(C56="","",IF(L56=0,0,ROUNDUP(L56/M56,0)*M56))</x:f>
      </x:c>
      <x:c r="R56" s="66" t="str">
        <x:f>IF(C56="","",Q56*SUMIF('07_기준정보'!$B$5:$B$204,C56,'07_기준정보'!$F$5:$F$204))</x:f>
      </x:c>
      <x:c r="S56" s="58" t="str">
        <x:v>미검토</x:v>
      </x:c>
    </x:row>
    <x:row r="57">
      <x:c r="A57" s="69" t="str"/>
      <x:c r="B57" s="69" t="str"/>
      <x:c r="C57" s="58" t="str"/>
      <x:c r="D57" s="58" t="str"/>
      <x:c r="E57" s="58" t="str"/>
      <x:c r="F57" s="70"/>
      <x:c r="G57" s="70"/>
      <x:c r="H57" s="70"/>
      <x:c r="I57" s="70"/>
      <x:c r="J57" s="70"/>
      <x:c r="K57" s="66" t="str">
        <x:f>IF(C57="","",MAX(0,H57-I57+J57))</x:f>
      </x:c>
      <x:c r="L57" s="66" t="str">
        <x:f>IF(C57="","",MAX(0,F57+G57-K57))</x:f>
      </x:c>
      <x:c r="M57" s="66"/>
      <x:c r="N57" s="66" t="str">
        <x:f>IF(C57="","",F57*(1-0.2))</x:f>
      </x:c>
      <x:c r="O57" s="66" t="str">
        <x:f>IF(C57="","",F57*(1+0.2))</x:f>
      </x:c>
      <x:c r="P57" s="60" t="str">
        <x:f>IF(C57="","",IF(L57=0,"정상",IF(L57&lt;N57,"Flex 미달",IF(L57&gt;O57,"Flex 초과","정상"))))</x:f>
      </x:c>
      <x:c r="Q57" s="66" t="str">
        <x:f>IF(C57="","",IF(L57=0,0,ROUNDUP(L57/M57,0)*M57))</x:f>
      </x:c>
      <x:c r="R57" s="66" t="str">
        <x:f>IF(C57="","",Q57*SUMIF('07_기준정보'!$B$5:$B$204,C57,'07_기준정보'!$F$5:$F$204))</x:f>
      </x:c>
      <x:c r="S57" s="58" t="str">
        <x:v>미검토</x:v>
      </x:c>
    </x:row>
    <x:row r="58">
      <x:c r="A58" s="69" t="str"/>
      <x:c r="B58" s="69" t="str"/>
      <x:c r="C58" s="58" t="str"/>
      <x:c r="D58" s="58" t="str"/>
      <x:c r="E58" s="58" t="str"/>
      <x:c r="F58" s="70"/>
      <x:c r="G58" s="70"/>
      <x:c r="H58" s="70"/>
      <x:c r="I58" s="70"/>
      <x:c r="J58" s="70"/>
      <x:c r="K58" s="66" t="str">
        <x:f>IF(C58="","",MAX(0,H58-I58+J58))</x:f>
      </x:c>
      <x:c r="L58" s="66" t="str">
        <x:f>IF(C58="","",MAX(0,F58+G58-K58))</x:f>
      </x:c>
      <x:c r="M58" s="66"/>
      <x:c r="N58" s="66" t="str">
        <x:f>IF(C58="","",F58*(1-0.2))</x:f>
      </x:c>
      <x:c r="O58" s="66" t="str">
        <x:f>IF(C58="","",F58*(1+0.2))</x:f>
      </x:c>
      <x:c r="P58" s="60" t="str">
        <x:f>IF(C58="","",IF(L58=0,"정상",IF(L58&lt;N58,"Flex 미달",IF(L58&gt;O58,"Flex 초과","정상"))))</x:f>
      </x:c>
      <x:c r="Q58" s="66" t="str">
        <x:f>IF(C58="","",IF(L58=0,0,ROUNDUP(L58/M58,0)*M58))</x:f>
      </x:c>
      <x:c r="R58" s="66" t="str">
        <x:f>IF(C58="","",Q58*SUMIF('07_기준정보'!$B$5:$B$204,C58,'07_기준정보'!$F$5:$F$204))</x:f>
      </x:c>
      <x:c r="S58" s="58" t="str">
        <x:v>미검토</x:v>
      </x:c>
    </x:row>
    <x:row r="59">
      <x:c r="A59" s="69" t="str"/>
      <x:c r="B59" s="69" t="str"/>
      <x:c r="C59" s="58" t="str"/>
      <x:c r="D59" s="58" t="str"/>
      <x:c r="E59" s="58" t="str"/>
      <x:c r="F59" s="70"/>
      <x:c r="G59" s="70"/>
      <x:c r="H59" s="70"/>
      <x:c r="I59" s="70"/>
      <x:c r="J59" s="70"/>
      <x:c r="K59" s="66" t="str">
        <x:f>IF(C59="","",MAX(0,H59-I59+J59))</x:f>
      </x:c>
      <x:c r="L59" s="66" t="str">
        <x:f>IF(C59="","",MAX(0,F59+G59-K59))</x:f>
      </x:c>
      <x:c r="M59" s="66"/>
      <x:c r="N59" s="66" t="str">
        <x:f>IF(C59="","",F59*(1-0.2))</x:f>
      </x:c>
      <x:c r="O59" s="66" t="str">
        <x:f>IF(C59="","",F59*(1+0.2))</x:f>
      </x:c>
      <x:c r="P59" s="60" t="str">
        <x:f>IF(C59="","",IF(L59=0,"정상",IF(L59&lt;N59,"Flex 미달",IF(L59&gt;O59,"Flex 초과","정상"))))</x:f>
      </x:c>
      <x:c r="Q59" s="66" t="str">
        <x:f>IF(C59="","",IF(L59=0,0,ROUNDUP(L59/M59,0)*M59))</x:f>
      </x:c>
      <x:c r="R59" s="66" t="str">
        <x:f>IF(C59="","",Q59*SUMIF('07_기준정보'!$B$5:$B$204,C59,'07_기준정보'!$F$5:$F$204))</x:f>
      </x:c>
      <x:c r="S59" s="58" t="str">
        <x:v>미검토</x:v>
      </x:c>
    </x:row>
    <x:row r="60">
      <x:c r="A60" s="69" t="str"/>
      <x:c r="B60" s="69" t="str"/>
      <x:c r="C60" s="58" t="str"/>
      <x:c r="D60" s="58" t="str"/>
      <x:c r="E60" s="58" t="str"/>
      <x:c r="F60" s="70"/>
      <x:c r="G60" s="70"/>
      <x:c r="H60" s="70"/>
      <x:c r="I60" s="70"/>
      <x:c r="J60" s="70"/>
      <x:c r="K60" s="66" t="str">
        <x:f>IF(C60="","",MAX(0,H60-I60+J60))</x:f>
      </x:c>
      <x:c r="L60" s="66" t="str">
        <x:f>IF(C60="","",MAX(0,F60+G60-K60))</x:f>
      </x:c>
      <x:c r="M60" s="66"/>
      <x:c r="N60" s="66" t="str">
        <x:f>IF(C60="","",F60*(1-0.2))</x:f>
      </x:c>
      <x:c r="O60" s="66" t="str">
        <x:f>IF(C60="","",F60*(1+0.2))</x:f>
      </x:c>
      <x:c r="P60" s="60" t="str">
        <x:f>IF(C60="","",IF(L60=0,"정상",IF(L60&lt;N60,"Flex 미달",IF(L60&gt;O60,"Flex 초과","정상"))))</x:f>
      </x:c>
      <x:c r="Q60" s="66" t="str">
        <x:f>IF(C60="","",IF(L60=0,0,ROUNDUP(L60/M60,0)*M60))</x:f>
      </x:c>
      <x:c r="R60" s="66" t="str">
        <x:f>IF(C60="","",Q60*SUMIF('07_기준정보'!$B$5:$B$204,C60,'07_기준정보'!$F$5:$F$204))</x:f>
      </x:c>
      <x:c r="S60" s="58" t="str">
        <x:v>미검토</x:v>
      </x:c>
    </x:row>
    <x:row r="61">
      <x:c r="A61" s="69" t="str"/>
      <x:c r="B61" s="69" t="str"/>
      <x:c r="C61" s="58" t="str"/>
      <x:c r="D61" s="58" t="str"/>
      <x:c r="E61" s="58" t="str"/>
      <x:c r="F61" s="70"/>
      <x:c r="G61" s="70"/>
      <x:c r="H61" s="70"/>
      <x:c r="I61" s="70"/>
      <x:c r="J61" s="70"/>
      <x:c r="K61" s="66" t="str">
        <x:f>IF(C61="","",MAX(0,H61-I61+J61))</x:f>
      </x:c>
      <x:c r="L61" s="66" t="str">
        <x:f>IF(C61="","",MAX(0,F61+G61-K61))</x:f>
      </x:c>
      <x:c r="M61" s="66"/>
      <x:c r="N61" s="66" t="str">
        <x:f>IF(C61="","",F61*(1-0.2))</x:f>
      </x:c>
      <x:c r="O61" s="66" t="str">
        <x:f>IF(C61="","",F61*(1+0.2))</x:f>
      </x:c>
      <x:c r="P61" s="60" t="str">
        <x:f>IF(C61="","",IF(L61=0,"정상",IF(L61&lt;N61,"Flex 미달",IF(L61&gt;O61,"Flex 초과","정상"))))</x:f>
      </x:c>
      <x:c r="Q61" s="66" t="str">
        <x:f>IF(C61="","",IF(L61=0,0,ROUNDUP(L61/M61,0)*M61))</x:f>
      </x:c>
      <x:c r="R61" s="66" t="str">
        <x:f>IF(C61="","",Q61*SUMIF('07_기준정보'!$B$5:$B$204,C61,'07_기준정보'!$F$5:$F$204))</x:f>
      </x:c>
      <x:c r="S61" s="58" t="str">
        <x:v>미검토</x:v>
      </x:c>
    </x:row>
    <x:row r="62">
      <x:c r="A62" s="69" t="str"/>
      <x:c r="B62" s="69" t="str"/>
      <x:c r="C62" s="58" t="str"/>
      <x:c r="D62" s="58" t="str"/>
      <x:c r="E62" s="58" t="str"/>
      <x:c r="F62" s="70"/>
      <x:c r="G62" s="70"/>
      <x:c r="H62" s="70"/>
      <x:c r="I62" s="70"/>
      <x:c r="J62" s="70"/>
      <x:c r="K62" s="66" t="str">
        <x:f>IF(C62="","",MAX(0,H62-I62+J62))</x:f>
      </x:c>
      <x:c r="L62" s="66" t="str">
        <x:f>IF(C62="","",MAX(0,F62+G62-K62))</x:f>
      </x:c>
      <x:c r="M62" s="66"/>
      <x:c r="N62" s="66" t="str">
        <x:f>IF(C62="","",F62*(1-0.2))</x:f>
      </x:c>
      <x:c r="O62" s="66" t="str">
        <x:f>IF(C62="","",F62*(1+0.2))</x:f>
      </x:c>
      <x:c r="P62" s="60" t="str">
        <x:f>IF(C62="","",IF(L62=0,"정상",IF(L62&lt;N62,"Flex 미달",IF(L62&gt;O62,"Flex 초과","정상"))))</x:f>
      </x:c>
      <x:c r="Q62" s="66" t="str">
        <x:f>IF(C62="","",IF(L62=0,0,ROUNDUP(L62/M62,0)*M62))</x:f>
      </x:c>
      <x:c r="R62" s="66" t="str">
        <x:f>IF(C62="","",Q62*SUMIF('07_기준정보'!$B$5:$B$204,C62,'07_기준정보'!$F$5:$F$204))</x:f>
      </x:c>
      <x:c r="S62" s="58" t="str">
        <x:v>미검토</x:v>
      </x:c>
    </x:row>
    <x:row r="63">
      <x:c r="A63" s="69" t="str"/>
      <x:c r="B63" s="69" t="str"/>
      <x:c r="C63" s="58" t="str"/>
      <x:c r="D63" s="58" t="str"/>
      <x:c r="E63" s="58" t="str"/>
      <x:c r="F63" s="70"/>
      <x:c r="G63" s="70"/>
      <x:c r="H63" s="70"/>
      <x:c r="I63" s="70"/>
      <x:c r="J63" s="70"/>
      <x:c r="K63" s="66" t="str">
        <x:f>IF(C63="","",MAX(0,H63-I63+J63))</x:f>
      </x:c>
      <x:c r="L63" s="66" t="str">
        <x:f>IF(C63="","",MAX(0,F63+G63-K63))</x:f>
      </x:c>
      <x:c r="M63" s="66"/>
      <x:c r="N63" s="66" t="str">
        <x:f>IF(C63="","",F63*(1-0.2))</x:f>
      </x:c>
      <x:c r="O63" s="66" t="str">
        <x:f>IF(C63="","",F63*(1+0.2))</x:f>
      </x:c>
      <x:c r="P63" s="60" t="str">
        <x:f>IF(C63="","",IF(L63=0,"정상",IF(L63&lt;N63,"Flex 미달",IF(L63&gt;O63,"Flex 초과","정상"))))</x:f>
      </x:c>
      <x:c r="Q63" s="66" t="str">
        <x:f>IF(C63="","",IF(L63=0,0,ROUNDUP(L63/M63,0)*M63))</x:f>
      </x:c>
      <x:c r="R63" s="66" t="str">
        <x:f>IF(C63="","",Q63*SUMIF('07_기준정보'!$B$5:$B$204,C63,'07_기준정보'!$F$5:$F$204))</x:f>
      </x:c>
      <x:c r="S63" s="58" t="str">
        <x:v>미검토</x:v>
      </x:c>
    </x:row>
    <x:row r="64">
      <x:c r="A64" s="69" t="str"/>
      <x:c r="B64" s="69" t="str"/>
      <x:c r="C64" s="58" t="str"/>
      <x:c r="D64" s="58" t="str"/>
      <x:c r="E64" s="58" t="str"/>
      <x:c r="F64" s="70"/>
      <x:c r="G64" s="70"/>
      <x:c r="H64" s="70"/>
      <x:c r="I64" s="70"/>
      <x:c r="J64" s="70"/>
      <x:c r="K64" s="66" t="str">
        <x:f>IF(C64="","",MAX(0,H64-I64+J64))</x:f>
      </x:c>
      <x:c r="L64" s="66" t="str">
        <x:f>IF(C64="","",MAX(0,F64+G64-K64))</x:f>
      </x:c>
      <x:c r="M64" s="66"/>
      <x:c r="N64" s="66" t="str">
        <x:f>IF(C64="","",F64*(1-0.2))</x:f>
      </x:c>
      <x:c r="O64" s="66" t="str">
        <x:f>IF(C64="","",F64*(1+0.2))</x:f>
      </x:c>
      <x:c r="P64" s="60" t="str">
        <x:f>IF(C64="","",IF(L64=0,"정상",IF(L64&lt;N64,"Flex 미달",IF(L64&gt;O64,"Flex 초과","정상"))))</x:f>
      </x:c>
      <x:c r="Q64" s="66" t="str">
        <x:f>IF(C64="","",IF(L64=0,0,ROUNDUP(L64/M64,0)*M64))</x:f>
      </x:c>
      <x:c r="R64" s="66" t="str">
        <x:f>IF(C64="","",Q64*SUMIF('07_기준정보'!$B$5:$B$204,C64,'07_기준정보'!$F$5:$F$204))</x:f>
      </x:c>
      <x:c r="S64" s="58" t="str">
        <x:v>미검토</x:v>
      </x:c>
    </x:row>
    <x:row r="65">
      <x:c r="A65" s="69" t="str"/>
      <x:c r="B65" s="69" t="str"/>
      <x:c r="C65" s="58" t="str"/>
      <x:c r="D65" s="58" t="str"/>
      <x:c r="E65" s="58" t="str"/>
      <x:c r="F65" s="70"/>
      <x:c r="G65" s="70"/>
      <x:c r="H65" s="70"/>
      <x:c r="I65" s="70"/>
      <x:c r="J65" s="70"/>
      <x:c r="K65" s="66" t="str">
        <x:f>IF(C65="","",MAX(0,H65-I65+J65))</x:f>
      </x:c>
      <x:c r="L65" s="66" t="str">
        <x:f>IF(C65="","",MAX(0,F65+G65-K65))</x:f>
      </x:c>
      <x:c r="M65" s="66"/>
      <x:c r="N65" s="66" t="str">
        <x:f>IF(C65="","",F65*(1-0.2))</x:f>
      </x:c>
      <x:c r="O65" s="66" t="str">
        <x:f>IF(C65="","",F65*(1+0.2))</x:f>
      </x:c>
      <x:c r="P65" s="60" t="str">
        <x:f>IF(C65="","",IF(L65=0,"정상",IF(L65&lt;N65,"Flex 미달",IF(L65&gt;O65,"Flex 초과","정상"))))</x:f>
      </x:c>
      <x:c r="Q65" s="66" t="str">
        <x:f>IF(C65="","",IF(L65=0,0,ROUNDUP(L65/M65,0)*M65))</x:f>
      </x:c>
      <x:c r="R65" s="66" t="str">
        <x:f>IF(C65="","",Q65*SUMIF('07_기준정보'!$B$5:$B$204,C65,'07_기준정보'!$F$5:$F$204))</x:f>
      </x:c>
      <x:c r="S65" s="58" t="str">
        <x:v>미검토</x:v>
      </x:c>
    </x:row>
    <x:row r="66">
      <x:c r="A66" s="69" t="str"/>
      <x:c r="B66" s="69" t="str"/>
      <x:c r="C66" s="58" t="str"/>
      <x:c r="D66" s="58" t="str"/>
      <x:c r="E66" s="58" t="str"/>
      <x:c r="F66" s="70"/>
      <x:c r="G66" s="70"/>
      <x:c r="H66" s="70"/>
      <x:c r="I66" s="70"/>
      <x:c r="J66" s="70"/>
      <x:c r="K66" s="66" t="str">
        <x:f>IF(C66="","",MAX(0,H66-I66+J66))</x:f>
      </x:c>
      <x:c r="L66" s="66" t="str">
        <x:f>IF(C66="","",MAX(0,F66+G66-K66))</x:f>
      </x:c>
      <x:c r="M66" s="66"/>
      <x:c r="N66" s="66" t="str">
        <x:f>IF(C66="","",F66*(1-0.2))</x:f>
      </x:c>
      <x:c r="O66" s="66" t="str">
        <x:f>IF(C66="","",F66*(1+0.2))</x:f>
      </x:c>
      <x:c r="P66" s="60" t="str">
        <x:f>IF(C66="","",IF(L66=0,"정상",IF(L66&lt;N66,"Flex 미달",IF(L66&gt;O66,"Flex 초과","정상"))))</x:f>
      </x:c>
      <x:c r="Q66" s="66" t="str">
        <x:f>IF(C66="","",IF(L66=0,0,ROUNDUP(L66/M66,0)*M66))</x:f>
      </x:c>
      <x:c r="R66" s="66" t="str">
        <x:f>IF(C66="","",Q66*SUMIF('07_기준정보'!$B$5:$B$204,C66,'07_기준정보'!$F$5:$F$204))</x:f>
      </x:c>
      <x:c r="S66" s="58" t="str">
        <x:v>미검토</x:v>
      </x:c>
    </x:row>
    <x:row r="67">
      <x:c r="A67" s="69" t="str"/>
      <x:c r="B67" s="69" t="str"/>
      <x:c r="C67" s="58" t="str"/>
      <x:c r="D67" s="58" t="str"/>
      <x:c r="E67" s="58" t="str"/>
      <x:c r="F67" s="70"/>
      <x:c r="G67" s="70"/>
      <x:c r="H67" s="70"/>
      <x:c r="I67" s="70"/>
      <x:c r="J67" s="70"/>
      <x:c r="K67" s="66" t="str">
        <x:f>IF(C67="","",MAX(0,H67-I67+J67))</x:f>
      </x:c>
      <x:c r="L67" s="66" t="str">
        <x:f>IF(C67="","",MAX(0,F67+G67-K67))</x:f>
      </x:c>
      <x:c r="M67" s="66"/>
      <x:c r="N67" s="66" t="str">
        <x:f>IF(C67="","",F67*(1-0.2))</x:f>
      </x:c>
      <x:c r="O67" s="66" t="str">
        <x:f>IF(C67="","",F67*(1+0.2))</x:f>
      </x:c>
      <x:c r="P67" s="60" t="str">
        <x:f>IF(C67="","",IF(L67=0,"정상",IF(L67&lt;N67,"Flex 미달",IF(L67&gt;O67,"Flex 초과","정상"))))</x:f>
      </x:c>
      <x:c r="Q67" s="66" t="str">
        <x:f>IF(C67="","",IF(L67=0,0,ROUNDUP(L67/M67,0)*M67))</x:f>
      </x:c>
      <x:c r="R67" s="66" t="str">
        <x:f>IF(C67="","",Q67*SUMIF('07_기준정보'!$B$5:$B$204,C67,'07_기준정보'!$F$5:$F$204))</x:f>
      </x:c>
      <x:c r="S67" s="58" t="str">
        <x:v>미검토</x:v>
      </x:c>
    </x:row>
    <x:row r="68">
      <x:c r="A68" s="69" t="str"/>
      <x:c r="B68" s="69" t="str"/>
      <x:c r="C68" s="58" t="str"/>
      <x:c r="D68" s="58" t="str"/>
      <x:c r="E68" s="58" t="str"/>
      <x:c r="F68" s="70"/>
      <x:c r="G68" s="70"/>
      <x:c r="H68" s="70"/>
      <x:c r="I68" s="70"/>
      <x:c r="J68" s="70"/>
      <x:c r="K68" s="66" t="str">
        <x:f>IF(C68="","",MAX(0,H68-I68+J68))</x:f>
      </x:c>
      <x:c r="L68" s="66" t="str">
        <x:f>IF(C68="","",MAX(0,F68+G68-K68))</x:f>
      </x:c>
      <x:c r="M68" s="66"/>
      <x:c r="N68" s="66" t="str">
        <x:f>IF(C68="","",F68*(1-0.2))</x:f>
      </x:c>
      <x:c r="O68" s="66" t="str">
        <x:f>IF(C68="","",F68*(1+0.2))</x:f>
      </x:c>
      <x:c r="P68" s="60" t="str">
        <x:f>IF(C68="","",IF(L68=0,"정상",IF(L68&lt;N68,"Flex 미달",IF(L68&gt;O68,"Flex 초과","정상"))))</x:f>
      </x:c>
      <x:c r="Q68" s="66" t="str">
        <x:f>IF(C68="","",IF(L68=0,0,ROUNDUP(L68/M68,0)*M68))</x:f>
      </x:c>
      <x:c r="R68" s="66" t="str">
        <x:f>IF(C68="","",Q68*SUMIF('07_기준정보'!$B$5:$B$204,C68,'07_기준정보'!$F$5:$F$204))</x:f>
      </x:c>
      <x:c r="S68" s="58" t="str">
        <x:v>미검토</x:v>
      </x:c>
    </x:row>
    <x:row r="69">
      <x:c r="A69" s="69" t="str"/>
      <x:c r="B69" s="69" t="str"/>
      <x:c r="C69" s="58" t="str"/>
      <x:c r="D69" s="58" t="str"/>
      <x:c r="E69" s="58" t="str"/>
      <x:c r="F69" s="70"/>
      <x:c r="G69" s="70"/>
      <x:c r="H69" s="70"/>
      <x:c r="I69" s="70"/>
      <x:c r="J69" s="70"/>
      <x:c r="K69" s="66" t="str">
        <x:f>IF(C69="","",MAX(0,H69-I69+J69))</x:f>
      </x:c>
      <x:c r="L69" s="66" t="str">
        <x:f>IF(C69="","",MAX(0,F69+G69-K69))</x:f>
      </x:c>
      <x:c r="M69" s="66"/>
      <x:c r="N69" s="66" t="str">
        <x:f>IF(C69="","",F69*(1-0.2))</x:f>
      </x:c>
      <x:c r="O69" s="66" t="str">
        <x:f>IF(C69="","",F69*(1+0.2))</x:f>
      </x:c>
      <x:c r="P69" s="60" t="str">
        <x:f>IF(C69="","",IF(L69=0,"정상",IF(L69&lt;N69,"Flex 미달",IF(L69&gt;O69,"Flex 초과","정상"))))</x:f>
      </x:c>
      <x:c r="Q69" s="66" t="str">
        <x:f>IF(C69="","",IF(L69=0,0,ROUNDUP(L69/M69,0)*M69))</x:f>
      </x:c>
      <x:c r="R69" s="66" t="str">
        <x:f>IF(C69="","",Q69*SUMIF('07_기준정보'!$B$5:$B$204,C69,'07_기준정보'!$F$5:$F$204))</x:f>
      </x:c>
      <x:c r="S69" s="58" t="str">
        <x:v>미검토</x:v>
      </x:c>
    </x:row>
    <x:row r="70">
      <x:c r="A70" s="69" t="str"/>
      <x:c r="B70" s="69" t="str"/>
      <x:c r="C70" s="58" t="str"/>
      <x:c r="D70" s="58" t="str"/>
      <x:c r="E70" s="58" t="str"/>
      <x:c r="F70" s="70"/>
      <x:c r="G70" s="70"/>
      <x:c r="H70" s="70"/>
      <x:c r="I70" s="70"/>
      <x:c r="J70" s="70"/>
      <x:c r="K70" s="66" t="str">
        <x:f>IF(C70="","",MAX(0,H70-I70+J70))</x:f>
      </x:c>
      <x:c r="L70" s="66" t="str">
        <x:f>IF(C70="","",MAX(0,F70+G70-K70))</x:f>
      </x:c>
      <x:c r="M70" s="66"/>
      <x:c r="N70" s="66" t="str">
        <x:f>IF(C70="","",F70*(1-0.2))</x:f>
      </x:c>
      <x:c r="O70" s="66" t="str">
        <x:f>IF(C70="","",F70*(1+0.2))</x:f>
      </x:c>
      <x:c r="P70" s="60" t="str">
        <x:f>IF(C70="","",IF(L70=0,"정상",IF(L70&lt;N70,"Flex 미달",IF(L70&gt;O70,"Flex 초과","정상"))))</x:f>
      </x:c>
      <x:c r="Q70" s="66" t="str">
        <x:f>IF(C70="","",IF(L70=0,0,ROUNDUP(L70/M70,0)*M70))</x:f>
      </x:c>
      <x:c r="R70" s="66" t="str">
        <x:f>IF(C70="","",Q70*SUMIF('07_기준정보'!$B$5:$B$204,C70,'07_기준정보'!$F$5:$F$204))</x:f>
      </x:c>
      <x:c r="S70" s="58" t="str">
        <x:v>미검토</x:v>
      </x:c>
    </x:row>
    <x:row r="71">
      <x:c r="A71" s="69" t="str"/>
      <x:c r="B71" s="69" t="str"/>
      <x:c r="C71" s="58" t="str"/>
      <x:c r="D71" s="58" t="str"/>
      <x:c r="E71" s="58" t="str"/>
      <x:c r="F71" s="70"/>
      <x:c r="G71" s="70"/>
      <x:c r="H71" s="70"/>
      <x:c r="I71" s="70"/>
      <x:c r="J71" s="70"/>
      <x:c r="K71" s="66" t="str">
        <x:f>IF(C71="","",MAX(0,H71-I71+J71))</x:f>
      </x:c>
      <x:c r="L71" s="66" t="str">
        <x:f>IF(C71="","",MAX(0,F71+G71-K71))</x:f>
      </x:c>
      <x:c r="M71" s="66"/>
      <x:c r="N71" s="66" t="str">
        <x:f>IF(C71="","",F71*(1-0.2))</x:f>
      </x:c>
      <x:c r="O71" s="66" t="str">
        <x:f>IF(C71="","",F71*(1+0.2))</x:f>
      </x:c>
      <x:c r="P71" s="60" t="str">
        <x:f>IF(C71="","",IF(L71=0,"정상",IF(L71&lt;N71,"Flex 미달",IF(L71&gt;O71,"Flex 초과","정상"))))</x:f>
      </x:c>
      <x:c r="Q71" s="66" t="str">
        <x:f>IF(C71="","",IF(L71=0,0,ROUNDUP(L71/M71,0)*M71))</x:f>
      </x:c>
      <x:c r="R71" s="66" t="str">
        <x:f>IF(C71="","",Q71*SUMIF('07_기준정보'!$B$5:$B$204,C71,'07_기준정보'!$F$5:$F$204))</x:f>
      </x:c>
      <x:c r="S71" s="58" t="str">
        <x:v>미검토</x:v>
      </x:c>
    </x:row>
    <x:row r="72">
      <x:c r="A72" s="69" t="str"/>
      <x:c r="B72" s="69" t="str"/>
      <x:c r="C72" s="58" t="str"/>
      <x:c r="D72" s="58" t="str"/>
      <x:c r="E72" s="58" t="str"/>
      <x:c r="F72" s="70"/>
      <x:c r="G72" s="70"/>
      <x:c r="H72" s="70"/>
      <x:c r="I72" s="70"/>
      <x:c r="J72" s="70"/>
      <x:c r="K72" s="66" t="str">
        <x:f>IF(C72="","",MAX(0,H72-I72+J72))</x:f>
      </x:c>
      <x:c r="L72" s="66" t="str">
        <x:f>IF(C72="","",MAX(0,F72+G72-K72))</x:f>
      </x:c>
      <x:c r="M72" s="66"/>
      <x:c r="N72" s="66" t="str">
        <x:f>IF(C72="","",F72*(1-0.2))</x:f>
      </x:c>
      <x:c r="O72" s="66" t="str">
        <x:f>IF(C72="","",F72*(1+0.2))</x:f>
      </x:c>
      <x:c r="P72" s="60" t="str">
        <x:f>IF(C72="","",IF(L72=0,"정상",IF(L72&lt;N72,"Flex 미달",IF(L72&gt;O72,"Flex 초과","정상"))))</x:f>
      </x:c>
      <x:c r="Q72" s="66" t="str">
        <x:f>IF(C72="","",IF(L72=0,0,ROUNDUP(L72/M72,0)*M72))</x:f>
      </x:c>
      <x:c r="R72" s="66" t="str">
        <x:f>IF(C72="","",Q72*SUMIF('07_기준정보'!$B$5:$B$204,C72,'07_기준정보'!$F$5:$F$204))</x:f>
      </x:c>
      <x:c r="S72" s="58" t="str">
        <x:v>미검토</x:v>
      </x:c>
    </x:row>
    <x:row r="73">
      <x:c r="A73" s="69" t="str"/>
      <x:c r="B73" s="69" t="str"/>
      <x:c r="C73" s="58" t="str"/>
      <x:c r="D73" s="58" t="str"/>
      <x:c r="E73" s="58" t="str"/>
      <x:c r="F73" s="70"/>
      <x:c r="G73" s="70"/>
      <x:c r="H73" s="70"/>
      <x:c r="I73" s="70"/>
      <x:c r="J73" s="70"/>
      <x:c r="K73" s="66" t="str">
        <x:f>IF(C73="","",MAX(0,H73-I73+J73))</x:f>
      </x:c>
      <x:c r="L73" s="66" t="str">
        <x:f>IF(C73="","",MAX(0,F73+G73-K73))</x:f>
      </x:c>
      <x:c r="M73" s="66"/>
      <x:c r="N73" s="66" t="str">
        <x:f>IF(C73="","",F73*(1-0.2))</x:f>
      </x:c>
      <x:c r="O73" s="66" t="str">
        <x:f>IF(C73="","",F73*(1+0.2))</x:f>
      </x:c>
      <x:c r="P73" s="60" t="str">
        <x:f>IF(C73="","",IF(L73=0,"정상",IF(L73&lt;N73,"Flex 미달",IF(L73&gt;O73,"Flex 초과","정상"))))</x:f>
      </x:c>
      <x:c r="Q73" s="66" t="str">
        <x:f>IF(C73="","",IF(L73=0,0,ROUNDUP(L73/M73,0)*M73))</x:f>
      </x:c>
      <x:c r="R73" s="66" t="str">
        <x:f>IF(C73="","",Q73*SUMIF('07_기준정보'!$B$5:$B$204,C73,'07_기준정보'!$F$5:$F$204))</x:f>
      </x:c>
      <x:c r="S73" s="58" t="str">
        <x:v>미검토</x:v>
      </x:c>
    </x:row>
    <x:row r="74">
      <x:c r="A74" s="69" t="str"/>
      <x:c r="B74" s="69" t="str"/>
      <x:c r="C74" s="58" t="str"/>
      <x:c r="D74" s="58" t="str"/>
      <x:c r="E74" s="58" t="str"/>
      <x:c r="F74" s="70"/>
      <x:c r="G74" s="70"/>
      <x:c r="H74" s="70"/>
      <x:c r="I74" s="70"/>
      <x:c r="J74" s="70"/>
      <x:c r="K74" s="66" t="str">
        <x:f>IF(C74="","",MAX(0,H74-I74+J74))</x:f>
      </x:c>
      <x:c r="L74" s="66" t="str">
        <x:f>IF(C74="","",MAX(0,F74+G74-K74))</x:f>
      </x:c>
      <x:c r="M74" s="66"/>
      <x:c r="N74" s="66" t="str">
        <x:f>IF(C74="","",F74*(1-0.2))</x:f>
      </x:c>
      <x:c r="O74" s="66" t="str">
        <x:f>IF(C74="","",F74*(1+0.2))</x:f>
      </x:c>
      <x:c r="P74" s="60" t="str">
        <x:f>IF(C74="","",IF(L74=0,"정상",IF(L74&lt;N74,"Flex 미달",IF(L74&gt;O74,"Flex 초과","정상"))))</x:f>
      </x:c>
      <x:c r="Q74" s="66" t="str">
        <x:f>IF(C74="","",IF(L74=0,0,ROUNDUP(L74/M74,0)*M74))</x:f>
      </x:c>
      <x:c r="R74" s="66" t="str">
        <x:f>IF(C74="","",Q74*SUMIF('07_기준정보'!$B$5:$B$204,C74,'07_기준정보'!$F$5:$F$204))</x:f>
      </x:c>
      <x:c r="S74" s="58" t="str">
        <x:v>미검토</x:v>
      </x:c>
    </x:row>
    <x:row r="75">
      <x:c r="A75" s="69" t="str"/>
      <x:c r="B75" s="69" t="str"/>
      <x:c r="C75" s="58" t="str"/>
      <x:c r="D75" s="58" t="str"/>
      <x:c r="E75" s="58" t="str"/>
      <x:c r="F75" s="70"/>
      <x:c r="G75" s="70"/>
      <x:c r="H75" s="70"/>
      <x:c r="I75" s="70"/>
      <x:c r="J75" s="70"/>
      <x:c r="K75" s="66" t="str">
        <x:f>IF(C75="","",MAX(0,H75-I75+J75))</x:f>
      </x:c>
      <x:c r="L75" s="66" t="str">
        <x:f>IF(C75="","",MAX(0,F75+G75-K75))</x:f>
      </x:c>
      <x:c r="M75" s="66"/>
      <x:c r="N75" s="66" t="str">
        <x:f>IF(C75="","",F75*(1-0.2))</x:f>
      </x:c>
      <x:c r="O75" s="66" t="str">
        <x:f>IF(C75="","",F75*(1+0.2))</x:f>
      </x:c>
      <x:c r="P75" s="60" t="str">
        <x:f>IF(C75="","",IF(L75=0,"정상",IF(L75&lt;N75,"Flex 미달",IF(L75&gt;O75,"Flex 초과","정상"))))</x:f>
      </x:c>
      <x:c r="Q75" s="66" t="str">
        <x:f>IF(C75="","",IF(L75=0,0,ROUNDUP(L75/M75,0)*M75))</x:f>
      </x:c>
      <x:c r="R75" s="66" t="str">
        <x:f>IF(C75="","",Q75*SUMIF('07_기준정보'!$B$5:$B$204,C75,'07_기준정보'!$F$5:$F$204))</x:f>
      </x:c>
      <x:c r="S75" s="58" t="str">
        <x:v>미검토</x:v>
      </x:c>
    </x:row>
    <x:row r="76">
      <x:c r="A76" s="69" t="str"/>
      <x:c r="B76" s="69" t="str"/>
      <x:c r="C76" s="58" t="str"/>
      <x:c r="D76" s="58" t="str"/>
      <x:c r="E76" s="58" t="str"/>
      <x:c r="F76" s="70"/>
      <x:c r="G76" s="70"/>
      <x:c r="H76" s="70"/>
      <x:c r="I76" s="70"/>
      <x:c r="J76" s="70"/>
      <x:c r="K76" s="66" t="str">
        <x:f>IF(C76="","",MAX(0,H76-I76+J76))</x:f>
      </x:c>
      <x:c r="L76" s="66" t="str">
        <x:f>IF(C76="","",MAX(0,F76+G76-K76))</x:f>
      </x:c>
      <x:c r="M76" s="66"/>
      <x:c r="N76" s="66" t="str">
        <x:f>IF(C76="","",F76*(1-0.2))</x:f>
      </x:c>
      <x:c r="O76" s="66" t="str">
        <x:f>IF(C76="","",F76*(1+0.2))</x:f>
      </x:c>
      <x:c r="P76" s="60" t="str">
        <x:f>IF(C76="","",IF(L76=0,"정상",IF(L76&lt;N76,"Flex 미달",IF(L76&gt;O76,"Flex 초과","정상"))))</x:f>
      </x:c>
      <x:c r="Q76" s="66" t="str">
        <x:f>IF(C76="","",IF(L76=0,0,ROUNDUP(L76/M76,0)*M76))</x:f>
      </x:c>
      <x:c r="R76" s="66" t="str">
        <x:f>IF(C76="","",Q76*SUMIF('07_기준정보'!$B$5:$B$204,C76,'07_기준정보'!$F$5:$F$204))</x:f>
      </x:c>
      <x:c r="S76" s="58" t="str">
        <x:v>미검토</x:v>
      </x:c>
    </x:row>
    <x:row r="77">
      <x:c r="A77" s="69" t="str"/>
      <x:c r="B77" s="69" t="str"/>
      <x:c r="C77" s="58" t="str"/>
      <x:c r="D77" s="58" t="str"/>
      <x:c r="E77" s="58" t="str"/>
      <x:c r="F77" s="70"/>
      <x:c r="G77" s="70"/>
      <x:c r="H77" s="70"/>
      <x:c r="I77" s="70"/>
      <x:c r="J77" s="70"/>
      <x:c r="K77" s="66" t="str">
        <x:f>IF(C77="","",MAX(0,H77-I77+J77))</x:f>
      </x:c>
      <x:c r="L77" s="66" t="str">
        <x:f>IF(C77="","",MAX(0,F77+G77-K77))</x:f>
      </x:c>
      <x:c r="M77" s="66"/>
      <x:c r="N77" s="66" t="str">
        <x:f>IF(C77="","",F77*(1-0.2))</x:f>
      </x:c>
      <x:c r="O77" s="66" t="str">
        <x:f>IF(C77="","",F77*(1+0.2))</x:f>
      </x:c>
      <x:c r="P77" s="60" t="str">
        <x:f>IF(C77="","",IF(L77=0,"정상",IF(L77&lt;N77,"Flex 미달",IF(L77&gt;O77,"Flex 초과","정상"))))</x:f>
      </x:c>
      <x:c r="Q77" s="66" t="str">
        <x:f>IF(C77="","",IF(L77=0,0,ROUNDUP(L77/M77,0)*M77))</x:f>
      </x:c>
      <x:c r="R77" s="66" t="str">
        <x:f>IF(C77="","",Q77*SUMIF('07_기준정보'!$B$5:$B$204,C77,'07_기준정보'!$F$5:$F$204))</x:f>
      </x:c>
      <x:c r="S77" s="58" t="str">
        <x:v>미검토</x:v>
      </x:c>
    </x:row>
    <x:row r="78">
      <x:c r="A78" s="69" t="str"/>
      <x:c r="B78" s="69" t="str"/>
      <x:c r="C78" s="58" t="str"/>
      <x:c r="D78" s="58" t="str"/>
      <x:c r="E78" s="58" t="str"/>
      <x:c r="F78" s="70"/>
      <x:c r="G78" s="70"/>
      <x:c r="H78" s="70"/>
      <x:c r="I78" s="70"/>
      <x:c r="J78" s="70"/>
      <x:c r="K78" s="66" t="str">
        <x:f>IF(C78="","",MAX(0,H78-I78+J78))</x:f>
      </x:c>
      <x:c r="L78" s="66" t="str">
        <x:f>IF(C78="","",MAX(0,F78+G78-K78))</x:f>
      </x:c>
      <x:c r="M78" s="66"/>
      <x:c r="N78" s="66" t="str">
        <x:f>IF(C78="","",F78*(1-0.2))</x:f>
      </x:c>
      <x:c r="O78" s="66" t="str">
        <x:f>IF(C78="","",F78*(1+0.2))</x:f>
      </x:c>
      <x:c r="P78" s="60" t="str">
        <x:f>IF(C78="","",IF(L78=0,"정상",IF(L78&lt;N78,"Flex 미달",IF(L78&gt;O78,"Flex 초과","정상"))))</x:f>
      </x:c>
      <x:c r="Q78" s="66" t="str">
        <x:f>IF(C78="","",IF(L78=0,0,ROUNDUP(L78/M78,0)*M78))</x:f>
      </x:c>
      <x:c r="R78" s="66" t="str">
        <x:f>IF(C78="","",Q78*SUMIF('07_기준정보'!$B$5:$B$204,C78,'07_기준정보'!$F$5:$F$204))</x:f>
      </x:c>
      <x:c r="S78" s="58" t="str">
        <x:v>미검토</x:v>
      </x:c>
    </x:row>
    <x:row r="79">
      <x:c r="A79" s="69" t="str"/>
      <x:c r="B79" s="69" t="str"/>
      <x:c r="C79" s="58" t="str"/>
      <x:c r="D79" s="58" t="str"/>
      <x:c r="E79" s="58" t="str"/>
      <x:c r="F79" s="70"/>
      <x:c r="G79" s="70"/>
      <x:c r="H79" s="70"/>
      <x:c r="I79" s="70"/>
      <x:c r="J79" s="70"/>
      <x:c r="K79" s="66" t="str">
        <x:f>IF(C79="","",MAX(0,H79-I79+J79))</x:f>
      </x:c>
      <x:c r="L79" s="66" t="str">
        <x:f>IF(C79="","",MAX(0,F79+G79-K79))</x:f>
      </x:c>
      <x:c r="M79" s="66"/>
      <x:c r="N79" s="66" t="str">
        <x:f>IF(C79="","",F79*(1-0.2))</x:f>
      </x:c>
      <x:c r="O79" s="66" t="str">
        <x:f>IF(C79="","",F79*(1+0.2))</x:f>
      </x:c>
      <x:c r="P79" s="60" t="str">
        <x:f>IF(C79="","",IF(L79=0,"정상",IF(L79&lt;N79,"Flex 미달",IF(L79&gt;O79,"Flex 초과","정상"))))</x:f>
      </x:c>
      <x:c r="Q79" s="66" t="str">
        <x:f>IF(C79="","",IF(L79=0,0,ROUNDUP(L79/M79,0)*M79))</x:f>
      </x:c>
      <x:c r="R79" s="66" t="str">
        <x:f>IF(C79="","",Q79*SUMIF('07_기준정보'!$B$5:$B$204,C79,'07_기준정보'!$F$5:$F$204))</x:f>
      </x:c>
      <x:c r="S79" s="58" t="str">
        <x:v>미검토</x:v>
      </x:c>
    </x:row>
    <x:row r="80">
      <x:c r="A80" s="69" t="str"/>
      <x:c r="B80" s="69" t="str"/>
      <x:c r="C80" s="58" t="str"/>
      <x:c r="D80" s="58" t="str"/>
      <x:c r="E80" s="58" t="str"/>
      <x:c r="F80" s="70"/>
      <x:c r="G80" s="70"/>
      <x:c r="H80" s="70"/>
      <x:c r="I80" s="70"/>
      <x:c r="J80" s="70"/>
      <x:c r="K80" s="66" t="str">
        <x:f>IF(C80="","",MAX(0,H80-I80+J80))</x:f>
      </x:c>
      <x:c r="L80" s="66" t="str">
        <x:f>IF(C80="","",MAX(0,F80+G80-K80))</x:f>
      </x:c>
      <x:c r="M80" s="66"/>
      <x:c r="N80" s="66" t="str">
        <x:f>IF(C80="","",F80*(1-0.2))</x:f>
      </x:c>
      <x:c r="O80" s="66" t="str">
        <x:f>IF(C80="","",F80*(1+0.2))</x:f>
      </x:c>
      <x:c r="P80" s="60" t="str">
        <x:f>IF(C80="","",IF(L80=0,"정상",IF(L80&lt;N80,"Flex 미달",IF(L80&gt;O80,"Flex 초과","정상"))))</x:f>
      </x:c>
      <x:c r="Q80" s="66" t="str">
        <x:f>IF(C80="","",IF(L80=0,0,ROUNDUP(L80/M80,0)*M80))</x:f>
      </x:c>
      <x:c r="R80" s="66" t="str">
        <x:f>IF(C80="","",Q80*SUMIF('07_기준정보'!$B$5:$B$204,C80,'07_기준정보'!$F$5:$F$204))</x:f>
      </x:c>
      <x:c r="S80" s="58" t="str">
        <x:v>미검토</x:v>
      </x:c>
    </x:row>
    <x:row r="81">
      <x:c r="A81" s="69" t="str"/>
      <x:c r="B81" s="69" t="str"/>
      <x:c r="C81" s="58" t="str"/>
      <x:c r="D81" s="58" t="str"/>
      <x:c r="E81" s="58" t="str"/>
      <x:c r="F81" s="70"/>
      <x:c r="G81" s="70"/>
      <x:c r="H81" s="70"/>
      <x:c r="I81" s="70"/>
      <x:c r="J81" s="70"/>
      <x:c r="K81" s="66" t="str">
        <x:f>IF(C81="","",MAX(0,H81-I81+J81))</x:f>
      </x:c>
      <x:c r="L81" s="66" t="str">
        <x:f>IF(C81="","",MAX(0,F81+G81-K81))</x:f>
      </x:c>
      <x:c r="M81" s="66"/>
      <x:c r="N81" s="66" t="str">
        <x:f>IF(C81="","",F81*(1-0.2))</x:f>
      </x:c>
      <x:c r="O81" s="66" t="str">
        <x:f>IF(C81="","",F81*(1+0.2))</x:f>
      </x:c>
      <x:c r="P81" s="60" t="str">
        <x:f>IF(C81="","",IF(L81=0,"정상",IF(L81&lt;N81,"Flex 미달",IF(L81&gt;O81,"Flex 초과","정상"))))</x:f>
      </x:c>
      <x:c r="Q81" s="66" t="str">
        <x:f>IF(C81="","",IF(L81=0,0,ROUNDUP(L81/M81,0)*M81))</x:f>
      </x:c>
      <x:c r="R81" s="66" t="str">
        <x:f>IF(C81="","",Q81*SUMIF('07_기준정보'!$B$5:$B$204,C81,'07_기준정보'!$F$5:$F$204))</x:f>
      </x:c>
      <x:c r="S81" s="58" t="str">
        <x:v>미검토</x:v>
      </x:c>
    </x:row>
    <x:row r="82">
      <x:c r="A82" s="69" t="str"/>
      <x:c r="B82" s="69" t="str"/>
      <x:c r="C82" s="58" t="str"/>
      <x:c r="D82" s="58" t="str"/>
      <x:c r="E82" s="58" t="str"/>
      <x:c r="F82" s="70"/>
      <x:c r="G82" s="70"/>
      <x:c r="H82" s="70"/>
      <x:c r="I82" s="70"/>
      <x:c r="J82" s="70"/>
      <x:c r="K82" s="66" t="str">
        <x:f>IF(C82="","",MAX(0,H82-I82+J82))</x:f>
      </x:c>
      <x:c r="L82" s="66" t="str">
        <x:f>IF(C82="","",MAX(0,F82+G82-K82))</x:f>
      </x:c>
      <x:c r="M82" s="66"/>
      <x:c r="N82" s="66" t="str">
        <x:f>IF(C82="","",F82*(1-0.2))</x:f>
      </x:c>
      <x:c r="O82" s="66" t="str">
        <x:f>IF(C82="","",F82*(1+0.2))</x:f>
      </x:c>
      <x:c r="P82" s="60" t="str">
        <x:f>IF(C82="","",IF(L82=0,"정상",IF(L82&lt;N82,"Flex 미달",IF(L82&gt;O82,"Flex 초과","정상"))))</x:f>
      </x:c>
      <x:c r="Q82" s="66" t="str">
        <x:f>IF(C82="","",IF(L82=0,0,ROUNDUP(L82/M82,0)*M82))</x:f>
      </x:c>
      <x:c r="R82" s="66" t="str">
        <x:f>IF(C82="","",Q82*SUMIF('07_기준정보'!$B$5:$B$204,C82,'07_기준정보'!$F$5:$F$204))</x:f>
      </x:c>
      <x:c r="S82" s="58" t="str">
        <x:v>미검토</x:v>
      </x:c>
    </x:row>
    <x:row r="83">
      <x:c r="A83" s="69" t="str"/>
      <x:c r="B83" s="69" t="str"/>
      <x:c r="C83" s="58" t="str"/>
      <x:c r="D83" s="58" t="str"/>
      <x:c r="E83" s="58" t="str"/>
      <x:c r="F83" s="70"/>
      <x:c r="G83" s="70"/>
      <x:c r="H83" s="70"/>
      <x:c r="I83" s="70"/>
      <x:c r="J83" s="70"/>
      <x:c r="K83" s="66" t="str">
        <x:f>IF(C83="","",MAX(0,H83-I83+J83))</x:f>
      </x:c>
      <x:c r="L83" s="66" t="str">
        <x:f>IF(C83="","",MAX(0,F83+G83-K83))</x:f>
      </x:c>
      <x:c r="M83" s="66"/>
      <x:c r="N83" s="66" t="str">
        <x:f>IF(C83="","",F83*(1-0.2))</x:f>
      </x:c>
      <x:c r="O83" s="66" t="str">
        <x:f>IF(C83="","",F83*(1+0.2))</x:f>
      </x:c>
      <x:c r="P83" s="60" t="str">
        <x:f>IF(C83="","",IF(L83=0,"정상",IF(L83&lt;N83,"Flex 미달",IF(L83&gt;O83,"Flex 초과","정상"))))</x:f>
      </x:c>
      <x:c r="Q83" s="66" t="str">
        <x:f>IF(C83="","",IF(L83=0,0,ROUNDUP(L83/M83,0)*M83))</x:f>
      </x:c>
      <x:c r="R83" s="66" t="str">
        <x:f>IF(C83="","",Q83*SUMIF('07_기준정보'!$B$5:$B$204,C83,'07_기준정보'!$F$5:$F$204))</x:f>
      </x:c>
      <x:c r="S83" s="58" t="str">
        <x:v>미검토</x:v>
      </x:c>
    </x:row>
    <x:row r="84">
      <x:c r="A84" s="69" t="str"/>
      <x:c r="B84" s="69" t="str"/>
      <x:c r="C84" s="58" t="str"/>
      <x:c r="D84" s="58" t="str"/>
      <x:c r="E84" s="58" t="str"/>
      <x:c r="F84" s="70"/>
      <x:c r="G84" s="70"/>
      <x:c r="H84" s="70"/>
      <x:c r="I84" s="70"/>
      <x:c r="J84" s="70"/>
      <x:c r="K84" s="66" t="str">
        <x:f>IF(C84="","",MAX(0,H84-I84+J84))</x:f>
      </x:c>
      <x:c r="L84" s="66" t="str">
        <x:f>IF(C84="","",MAX(0,F84+G84-K84))</x:f>
      </x:c>
      <x:c r="M84" s="66"/>
      <x:c r="N84" s="66" t="str">
        <x:f>IF(C84="","",F84*(1-0.2))</x:f>
      </x:c>
      <x:c r="O84" s="66" t="str">
        <x:f>IF(C84="","",F84*(1+0.2))</x:f>
      </x:c>
      <x:c r="P84" s="60" t="str">
        <x:f>IF(C84="","",IF(L84=0,"정상",IF(L84&lt;N84,"Flex 미달",IF(L84&gt;O84,"Flex 초과","정상"))))</x:f>
      </x:c>
      <x:c r="Q84" s="66" t="str">
        <x:f>IF(C84="","",IF(L84=0,0,ROUNDUP(L84/M84,0)*M84))</x:f>
      </x:c>
      <x:c r="R84" s="66" t="str">
        <x:f>IF(C84="","",Q84*SUMIF('07_기준정보'!$B$5:$B$204,C84,'07_기준정보'!$F$5:$F$204))</x:f>
      </x:c>
      <x:c r="S84" s="58" t="str">
        <x:v>미검토</x:v>
      </x:c>
    </x:row>
    <x:row r="85">
      <x:c r="A85" s="69" t="str"/>
      <x:c r="B85" s="69" t="str"/>
      <x:c r="C85" s="58" t="str"/>
      <x:c r="D85" s="58" t="str"/>
      <x:c r="E85" s="58" t="str"/>
      <x:c r="F85" s="70"/>
      <x:c r="G85" s="70"/>
      <x:c r="H85" s="70"/>
      <x:c r="I85" s="70"/>
      <x:c r="J85" s="70"/>
      <x:c r="K85" s="66" t="str">
        <x:f>IF(C85="","",MAX(0,H85-I85+J85))</x:f>
      </x:c>
      <x:c r="L85" s="66" t="str">
        <x:f>IF(C85="","",MAX(0,F85+G85-K85))</x:f>
      </x:c>
      <x:c r="M85" s="66"/>
      <x:c r="N85" s="66" t="str">
        <x:f>IF(C85="","",F85*(1-0.2))</x:f>
      </x:c>
      <x:c r="O85" s="66" t="str">
        <x:f>IF(C85="","",F85*(1+0.2))</x:f>
      </x:c>
      <x:c r="P85" s="60" t="str">
        <x:f>IF(C85="","",IF(L85=0,"정상",IF(L85&lt;N85,"Flex 미달",IF(L85&gt;O85,"Flex 초과","정상"))))</x:f>
      </x:c>
      <x:c r="Q85" s="66" t="str">
        <x:f>IF(C85="","",IF(L85=0,0,ROUNDUP(L85/M85,0)*M85))</x:f>
      </x:c>
      <x:c r="R85" s="66" t="str">
        <x:f>IF(C85="","",Q85*SUMIF('07_기준정보'!$B$5:$B$204,C85,'07_기준정보'!$F$5:$F$204))</x:f>
      </x:c>
      <x:c r="S85" s="58" t="str">
        <x:v>미검토</x:v>
      </x:c>
    </x:row>
    <x:row r="86">
      <x:c r="A86" s="69" t="str"/>
      <x:c r="B86" s="69" t="str"/>
      <x:c r="C86" s="58" t="str"/>
      <x:c r="D86" s="58" t="str"/>
      <x:c r="E86" s="58" t="str"/>
      <x:c r="F86" s="70"/>
      <x:c r="G86" s="70"/>
      <x:c r="H86" s="70"/>
      <x:c r="I86" s="70"/>
      <x:c r="J86" s="70"/>
      <x:c r="K86" s="66" t="str">
        <x:f>IF(C86="","",MAX(0,H86-I86+J86))</x:f>
      </x:c>
      <x:c r="L86" s="66" t="str">
        <x:f>IF(C86="","",MAX(0,F86+G86-K86))</x:f>
      </x:c>
      <x:c r="M86" s="66"/>
      <x:c r="N86" s="66" t="str">
        <x:f>IF(C86="","",F86*(1-0.2))</x:f>
      </x:c>
      <x:c r="O86" s="66" t="str">
        <x:f>IF(C86="","",F86*(1+0.2))</x:f>
      </x:c>
      <x:c r="P86" s="60" t="str">
        <x:f>IF(C86="","",IF(L86=0,"정상",IF(L86&lt;N86,"Flex 미달",IF(L86&gt;O86,"Flex 초과","정상"))))</x:f>
      </x:c>
      <x:c r="Q86" s="66" t="str">
        <x:f>IF(C86="","",IF(L86=0,0,ROUNDUP(L86/M86,0)*M86))</x:f>
      </x:c>
      <x:c r="R86" s="66" t="str">
        <x:f>IF(C86="","",Q86*SUMIF('07_기준정보'!$B$5:$B$204,C86,'07_기준정보'!$F$5:$F$204))</x:f>
      </x:c>
      <x:c r="S86" s="58" t="str">
        <x:v>미검토</x:v>
      </x:c>
    </x:row>
    <x:row r="87">
      <x:c r="A87" s="69" t="str"/>
      <x:c r="B87" s="69" t="str"/>
      <x:c r="C87" s="58" t="str"/>
      <x:c r="D87" s="58" t="str"/>
      <x:c r="E87" s="58" t="str"/>
      <x:c r="F87" s="70"/>
      <x:c r="G87" s="70"/>
      <x:c r="H87" s="70"/>
      <x:c r="I87" s="70"/>
      <x:c r="J87" s="70"/>
      <x:c r="K87" s="66" t="str">
        <x:f>IF(C87="","",MAX(0,H87-I87+J87))</x:f>
      </x:c>
      <x:c r="L87" s="66" t="str">
        <x:f>IF(C87="","",MAX(0,F87+G87-K87))</x:f>
      </x:c>
      <x:c r="M87" s="66"/>
      <x:c r="N87" s="66" t="str">
        <x:f>IF(C87="","",F87*(1-0.2))</x:f>
      </x:c>
      <x:c r="O87" s="66" t="str">
        <x:f>IF(C87="","",F87*(1+0.2))</x:f>
      </x:c>
      <x:c r="P87" s="60" t="str">
        <x:f>IF(C87="","",IF(L87=0,"정상",IF(L87&lt;N87,"Flex 미달",IF(L87&gt;O87,"Flex 초과","정상"))))</x:f>
      </x:c>
      <x:c r="Q87" s="66" t="str">
        <x:f>IF(C87="","",IF(L87=0,0,ROUNDUP(L87/M87,0)*M87))</x:f>
      </x:c>
      <x:c r="R87" s="66" t="str">
        <x:f>IF(C87="","",Q87*SUMIF('07_기준정보'!$B$5:$B$204,C87,'07_기준정보'!$F$5:$F$204))</x:f>
      </x:c>
      <x:c r="S87" s="58" t="str">
        <x:v>미검토</x:v>
      </x:c>
    </x:row>
    <x:row r="88">
      <x:c r="A88" s="69" t="str"/>
      <x:c r="B88" s="69" t="str"/>
      <x:c r="C88" s="58" t="str"/>
      <x:c r="D88" s="58" t="str"/>
      <x:c r="E88" s="58" t="str"/>
      <x:c r="F88" s="70"/>
      <x:c r="G88" s="70"/>
      <x:c r="H88" s="70"/>
      <x:c r="I88" s="70"/>
      <x:c r="J88" s="70"/>
      <x:c r="K88" s="66" t="str">
        <x:f>IF(C88="","",MAX(0,H88-I88+J88))</x:f>
      </x:c>
      <x:c r="L88" s="66" t="str">
        <x:f>IF(C88="","",MAX(0,F88+G88-K88))</x:f>
      </x:c>
      <x:c r="M88" s="66"/>
      <x:c r="N88" s="66" t="str">
        <x:f>IF(C88="","",F88*(1-0.2))</x:f>
      </x:c>
      <x:c r="O88" s="66" t="str">
        <x:f>IF(C88="","",F88*(1+0.2))</x:f>
      </x:c>
      <x:c r="P88" s="60" t="str">
        <x:f>IF(C88="","",IF(L88=0,"정상",IF(L88&lt;N88,"Flex 미달",IF(L88&gt;O88,"Flex 초과","정상"))))</x:f>
      </x:c>
      <x:c r="Q88" s="66" t="str">
        <x:f>IF(C88="","",IF(L88=0,0,ROUNDUP(L88/M88,0)*M88))</x:f>
      </x:c>
      <x:c r="R88" s="66" t="str">
        <x:f>IF(C88="","",Q88*SUMIF('07_기준정보'!$B$5:$B$204,C88,'07_기준정보'!$F$5:$F$204))</x:f>
      </x:c>
      <x:c r="S88" s="58" t="str">
        <x:v>미검토</x:v>
      </x:c>
    </x:row>
    <x:row r="89">
      <x:c r="A89" s="69" t="str"/>
      <x:c r="B89" s="69" t="str"/>
      <x:c r="C89" s="58" t="str"/>
      <x:c r="D89" s="58" t="str"/>
      <x:c r="E89" s="58" t="str"/>
      <x:c r="F89" s="70"/>
      <x:c r="G89" s="70"/>
      <x:c r="H89" s="70"/>
      <x:c r="I89" s="70"/>
      <x:c r="J89" s="70"/>
      <x:c r="K89" s="66" t="str">
        <x:f>IF(C89="","",MAX(0,H89-I89+J89))</x:f>
      </x:c>
      <x:c r="L89" s="66" t="str">
        <x:f>IF(C89="","",MAX(0,F89+G89-K89))</x:f>
      </x:c>
      <x:c r="M89" s="66"/>
      <x:c r="N89" s="66" t="str">
        <x:f>IF(C89="","",F89*(1-0.2))</x:f>
      </x:c>
      <x:c r="O89" s="66" t="str">
        <x:f>IF(C89="","",F89*(1+0.2))</x:f>
      </x:c>
      <x:c r="P89" s="60" t="str">
        <x:f>IF(C89="","",IF(L89=0,"정상",IF(L89&lt;N89,"Flex 미달",IF(L89&gt;O89,"Flex 초과","정상"))))</x:f>
      </x:c>
      <x:c r="Q89" s="66" t="str">
        <x:f>IF(C89="","",IF(L89=0,0,ROUNDUP(L89/M89,0)*M89))</x:f>
      </x:c>
      <x:c r="R89" s="66" t="str">
        <x:f>IF(C89="","",Q89*SUMIF('07_기준정보'!$B$5:$B$204,C89,'07_기준정보'!$F$5:$F$204))</x:f>
      </x:c>
      <x:c r="S89" s="58" t="str">
        <x:v>미검토</x:v>
      </x:c>
    </x:row>
    <x:row r="90">
      <x:c r="A90" s="69" t="str"/>
      <x:c r="B90" s="69" t="str"/>
      <x:c r="C90" s="58" t="str"/>
      <x:c r="D90" s="58" t="str"/>
      <x:c r="E90" s="58" t="str"/>
      <x:c r="F90" s="70"/>
      <x:c r="G90" s="70"/>
      <x:c r="H90" s="70"/>
      <x:c r="I90" s="70"/>
      <x:c r="J90" s="70"/>
      <x:c r="K90" s="66" t="str">
        <x:f>IF(C90="","",MAX(0,H90-I90+J90))</x:f>
      </x:c>
      <x:c r="L90" s="66" t="str">
        <x:f>IF(C90="","",MAX(0,F90+G90-K90))</x:f>
      </x:c>
      <x:c r="M90" s="66"/>
      <x:c r="N90" s="66" t="str">
        <x:f>IF(C90="","",F90*(1-0.2))</x:f>
      </x:c>
      <x:c r="O90" s="66" t="str">
        <x:f>IF(C90="","",F90*(1+0.2))</x:f>
      </x:c>
      <x:c r="P90" s="60" t="str">
        <x:f>IF(C90="","",IF(L90=0,"정상",IF(L90&lt;N90,"Flex 미달",IF(L90&gt;O90,"Flex 초과","정상"))))</x:f>
      </x:c>
      <x:c r="Q90" s="66" t="str">
        <x:f>IF(C90="","",IF(L90=0,0,ROUNDUP(L90/M90,0)*M90))</x:f>
      </x:c>
      <x:c r="R90" s="66" t="str">
        <x:f>IF(C90="","",Q90*SUMIF('07_기준정보'!$B$5:$B$204,C90,'07_기준정보'!$F$5:$F$204))</x:f>
      </x:c>
      <x:c r="S90" s="58" t="str">
        <x:v>미검토</x:v>
      </x:c>
    </x:row>
    <x:row r="91">
      <x:c r="A91" s="69" t="str"/>
      <x:c r="B91" s="69" t="str"/>
      <x:c r="C91" s="58" t="str"/>
      <x:c r="D91" s="58" t="str"/>
      <x:c r="E91" s="58" t="str"/>
      <x:c r="F91" s="70"/>
      <x:c r="G91" s="70"/>
      <x:c r="H91" s="70"/>
      <x:c r="I91" s="70"/>
      <x:c r="J91" s="70"/>
      <x:c r="K91" s="66" t="str">
        <x:f>IF(C91="","",MAX(0,H91-I91+J91))</x:f>
      </x:c>
      <x:c r="L91" s="66" t="str">
        <x:f>IF(C91="","",MAX(0,F91+G91-K91))</x:f>
      </x:c>
      <x:c r="M91" s="66"/>
      <x:c r="N91" s="66" t="str">
        <x:f>IF(C91="","",F91*(1-0.2))</x:f>
      </x:c>
      <x:c r="O91" s="66" t="str">
        <x:f>IF(C91="","",F91*(1+0.2))</x:f>
      </x:c>
      <x:c r="P91" s="60" t="str">
        <x:f>IF(C91="","",IF(L91=0,"정상",IF(L91&lt;N91,"Flex 미달",IF(L91&gt;O91,"Flex 초과","정상"))))</x:f>
      </x:c>
      <x:c r="Q91" s="66" t="str">
        <x:f>IF(C91="","",IF(L91=0,0,ROUNDUP(L91/M91,0)*M91))</x:f>
      </x:c>
      <x:c r="R91" s="66" t="str">
        <x:f>IF(C91="","",Q91*SUMIF('07_기준정보'!$B$5:$B$204,C91,'07_기준정보'!$F$5:$F$204))</x:f>
      </x:c>
      <x:c r="S91" s="58" t="str">
        <x:v>미검토</x:v>
      </x:c>
    </x:row>
    <x:row r="92">
      <x:c r="A92" s="69" t="str"/>
      <x:c r="B92" s="69" t="str"/>
      <x:c r="C92" s="58" t="str"/>
      <x:c r="D92" s="58" t="str"/>
      <x:c r="E92" s="58" t="str"/>
      <x:c r="F92" s="70"/>
      <x:c r="G92" s="70"/>
      <x:c r="H92" s="70"/>
      <x:c r="I92" s="70"/>
      <x:c r="J92" s="70"/>
      <x:c r="K92" s="66" t="str">
        <x:f>IF(C92="","",MAX(0,H92-I92+J92))</x:f>
      </x:c>
      <x:c r="L92" s="66" t="str">
        <x:f>IF(C92="","",MAX(0,F92+G92-K92))</x:f>
      </x:c>
      <x:c r="M92" s="66"/>
      <x:c r="N92" s="66" t="str">
        <x:f>IF(C92="","",F92*(1-0.2))</x:f>
      </x:c>
      <x:c r="O92" s="66" t="str">
        <x:f>IF(C92="","",F92*(1+0.2))</x:f>
      </x:c>
      <x:c r="P92" s="60" t="str">
        <x:f>IF(C92="","",IF(L92=0,"정상",IF(L92&lt;N92,"Flex 미달",IF(L92&gt;O92,"Flex 초과","정상"))))</x:f>
      </x:c>
      <x:c r="Q92" s="66" t="str">
        <x:f>IF(C92="","",IF(L92=0,0,ROUNDUP(L92/M92,0)*M92))</x:f>
      </x:c>
      <x:c r="R92" s="66" t="str">
        <x:f>IF(C92="","",Q92*SUMIF('07_기준정보'!$B$5:$B$204,C92,'07_기준정보'!$F$5:$F$204))</x:f>
      </x:c>
      <x:c r="S92" s="58" t="str">
        <x:v>미검토</x:v>
      </x:c>
    </x:row>
    <x:row r="93">
      <x:c r="A93" s="69" t="str"/>
      <x:c r="B93" s="69" t="str"/>
      <x:c r="C93" s="58" t="str"/>
      <x:c r="D93" s="58" t="str"/>
      <x:c r="E93" s="58" t="str"/>
      <x:c r="F93" s="70"/>
      <x:c r="G93" s="70"/>
      <x:c r="H93" s="70"/>
      <x:c r="I93" s="70"/>
      <x:c r="J93" s="70"/>
      <x:c r="K93" s="66" t="str">
        <x:f>IF(C93="","",MAX(0,H93-I93+J93))</x:f>
      </x:c>
      <x:c r="L93" s="66" t="str">
        <x:f>IF(C93="","",MAX(0,F93+G93-K93))</x:f>
      </x:c>
      <x:c r="M93" s="66"/>
      <x:c r="N93" s="66" t="str">
        <x:f>IF(C93="","",F93*(1-0.2))</x:f>
      </x:c>
      <x:c r="O93" s="66" t="str">
        <x:f>IF(C93="","",F93*(1+0.2))</x:f>
      </x:c>
      <x:c r="P93" s="60" t="str">
        <x:f>IF(C93="","",IF(L93=0,"정상",IF(L93&lt;N93,"Flex 미달",IF(L93&gt;O93,"Flex 초과","정상"))))</x:f>
      </x:c>
      <x:c r="Q93" s="66" t="str">
        <x:f>IF(C93="","",IF(L93=0,0,ROUNDUP(L93/M93,0)*M93))</x:f>
      </x:c>
      <x:c r="R93" s="66" t="str">
        <x:f>IF(C93="","",Q93*SUMIF('07_기준정보'!$B$5:$B$204,C93,'07_기준정보'!$F$5:$F$204))</x:f>
      </x:c>
      <x:c r="S93" s="58" t="str">
        <x:v>미검토</x:v>
      </x:c>
    </x:row>
    <x:row r="94">
      <x:c r="A94" s="69" t="str"/>
      <x:c r="B94" s="69" t="str"/>
      <x:c r="C94" s="58" t="str"/>
      <x:c r="D94" s="58" t="str"/>
      <x:c r="E94" s="58" t="str"/>
      <x:c r="F94" s="70"/>
      <x:c r="G94" s="70"/>
      <x:c r="H94" s="70"/>
      <x:c r="I94" s="70"/>
      <x:c r="J94" s="70"/>
      <x:c r="K94" s="66" t="str">
        <x:f>IF(C94="","",MAX(0,H94-I94+J94))</x:f>
      </x:c>
      <x:c r="L94" s="66" t="str">
        <x:f>IF(C94="","",MAX(0,F94+G94-K94))</x:f>
      </x:c>
      <x:c r="M94" s="66"/>
      <x:c r="N94" s="66" t="str">
        <x:f>IF(C94="","",F94*(1-0.2))</x:f>
      </x:c>
      <x:c r="O94" s="66" t="str">
        <x:f>IF(C94="","",F94*(1+0.2))</x:f>
      </x:c>
      <x:c r="P94" s="60" t="str">
        <x:f>IF(C94="","",IF(L94=0,"정상",IF(L94&lt;N94,"Flex 미달",IF(L94&gt;O94,"Flex 초과","정상"))))</x:f>
      </x:c>
      <x:c r="Q94" s="66" t="str">
        <x:f>IF(C94="","",IF(L94=0,0,ROUNDUP(L94/M94,0)*M94))</x:f>
      </x:c>
      <x:c r="R94" s="66" t="str">
        <x:f>IF(C94="","",Q94*SUMIF('07_기준정보'!$B$5:$B$204,C94,'07_기준정보'!$F$5:$F$204))</x:f>
      </x:c>
      <x:c r="S94" s="58" t="str">
        <x:v>미검토</x:v>
      </x:c>
    </x:row>
    <x:row r="95">
      <x:c r="A95" s="69" t="str"/>
      <x:c r="B95" s="69" t="str"/>
      <x:c r="C95" s="58" t="str"/>
      <x:c r="D95" s="58" t="str"/>
      <x:c r="E95" s="58" t="str"/>
      <x:c r="F95" s="70"/>
      <x:c r="G95" s="70"/>
      <x:c r="H95" s="70"/>
      <x:c r="I95" s="70"/>
      <x:c r="J95" s="70"/>
      <x:c r="K95" s="66" t="str">
        <x:f>IF(C95="","",MAX(0,H95-I95+J95))</x:f>
      </x:c>
      <x:c r="L95" s="66" t="str">
        <x:f>IF(C95="","",MAX(0,F95+G95-K95))</x:f>
      </x:c>
      <x:c r="M95" s="66"/>
      <x:c r="N95" s="66" t="str">
        <x:f>IF(C95="","",F95*(1-0.2))</x:f>
      </x:c>
      <x:c r="O95" s="66" t="str">
        <x:f>IF(C95="","",F95*(1+0.2))</x:f>
      </x:c>
      <x:c r="P95" s="60" t="str">
        <x:f>IF(C95="","",IF(L95=0,"정상",IF(L95&lt;N95,"Flex 미달",IF(L95&gt;O95,"Flex 초과","정상"))))</x:f>
      </x:c>
      <x:c r="Q95" s="66" t="str">
        <x:f>IF(C95="","",IF(L95=0,0,ROUNDUP(L95/M95,0)*M95))</x:f>
      </x:c>
      <x:c r="R95" s="66" t="str">
        <x:f>IF(C95="","",Q95*SUMIF('07_기준정보'!$B$5:$B$204,C95,'07_기준정보'!$F$5:$F$204))</x:f>
      </x:c>
      <x:c r="S95" s="58" t="str">
        <x:v>미검토</x:v>
      </x:c>
    </x:row>
    <x:row r="96">
      <x:c r="A96" s="69" t="str"/>
      <x:c r="B96" s="69" t="str"/>
      <x:c r="C96" s="58" t="str"/>
      <x:c r="D96" s="58" t="str"/>
      <x:c r="E96" s="58" t="str"/>
      <x:c r="F96" s="70"/>
      <x:c r="G96" s="70"/>
      <x:c r="H96" s="70"/>
      <x:c r="I96" s="70"/>
      <x:c r="J96" s="70"/>
      <x:c r="K96" s="66" t="str">
        <x:f>IF(C96="","",MAX(0,H96-I96+J96))</x:f>
      </x:c>
      <x:c r="L96" s="66" t="str">
        <x:f>IF(C96="","",MAX(0,F96+G96-K96))</x:f>
      </x:c>
      <x:c r="M96" s="66"/>
      <x:c r="N96" s="66" t="str">
        <x:f>IF(C96="","",F96*(1-0.2))</x:f>
      </x:c>
      <x:c r="O96" s="66" t="str">
        <x:f>IF(C96="","",F96*(1+0.2))</x:f>
      </x:c>
      <x:c r="P96" s="60" t="str">
        <x:f>IF(C96="","",IF(L96=0,"정상",IF(L96&lt;N96,"Flex 미달",IF(L96&gt;O96,"Flex 초과","정상"))))</x:f>
      </x:c>
      <x:c r="Q96" s="66" t="str">
        <x:f>IF(C96="","",IF(L96=0,0,ROUNDUP(L96/M96,0)*M96))</x:f>
      </x:c>
      <x:c r="R96" s="66" t="str">
        <x:f>IF(C96="","",Q96*SUMIF('07_기준정보'!$B$5:$B$204,C96,'07_기준정보'!$F$5:$F$204))</x:f>
      </x:c>
      <x:c r="S96" s="58" t="str">
        <x:v>미검토</x:v>
      </x:c>
    </x:row>
    <x:row r="97">
      <x:c r="A97" s="69" t="str"/>
      <x:c r="B97" s="69" t="str"/>
      <x:c r="C97" s="58" t="str"/>
      <x:c r="D97" s="58" t="str"/>
      <x:c r="E97" s="58" t="str"/>
      <x:c r="F97" s="70"/>
      <x:c r="G97" s="70"/>
      <x:c r="H97" s="70"/>
      <x:c r="I97" s="70"/>
      <x:c r="J97" s="70"/>
      <x:c r="K97" s="66" t="str">
        <x:f>IF(C97="","",MAX(0,H97-I97+J97))</x:f>
      </x:c>
      <x:c r="L97" s="66" t="str">
        <x:f>IF(C97="","",MAX(0,F97+G97-K97))</x:f>
      </x:c>
      <x:c r="M97" s="66"/>
      <x:c r="N97" s="66" t="str">
        <x:f>IF(C97="","",F97*(1-0.2))</x:f>
      </x:c>
      <x:c r="O97" s="66" t="str">
        <x:f>IF(C97="","",F97*(1+0.2))</x:f>
      </x:c>
      <x:c r="P97" s="60" t="str">
        <x:f>IF(C97="","",IF(L97=0,"정상",IF(L97&lt;N97,"Flex 미달",IF(L97&gt;O97,"Flex 초과","정상"))))</x:f>
      </x:c>
      <x:c r="Q97" s="66" t="str">
        <x:f>IF(C97="","",IF(L97=0,0,ROUNDUP(L97/M97,0)*M97))</x:f>
      </x:c>
      <x:c r="R97" s="66" t="str">
        <x:f>IF(C97="","",Q97*SUMIF('07_기준정보'!$B$5:$B$204,C97,'07_기준정보'!$F$5:$F$204))</x:f>
      </x:c>
      <x:c r="S97" s="58" t="str">
        <x:v>미검토</x:v>
      </x:c>
    </x:row>
    <x:row r="98">
      <x:c r="A98" s="69" t="str"/>
      <x:c r="B98" s="69" t="str"/>
      <x:c r="C98" s="58" t="str"/>
      <x:c r="D98" s="58" t="str"/>
      <x:c r="E98" s="58" t="str"/>
      <x:c r="F98" s="70"/>
      <x:c r="G98" s="70"/>
      <x:c r="H98" s="70"/>
      <x:c r="I98" s="70"/>
      <x:c r="J98" s="70"/>
      <x:c r="K98" s="66" t="str">
        <x:f>IF(C98="","",MAX(0,H98-I98+J98))</x:f>
      </x:c>
      <x:c r="L98" s="66" t="str">
        <x:f>IF(C98="","",MAX(0,F98+G98-K98))</x:f>
      </x:c>
      <x:c r="M98" s="66"/>
      <x:c r="N98" s="66" t="str">
        <x:f>IF(C98="","",F98*(1-0.2))</x:f>
      </x:c>
      <x:c r="O98" s="66" t="str">
        <x:f>IF(C98="","",F98*(1+0.2))</x:f>
      </x:c>
      <x:c r="P98" s="60" t="str">
        <x:f>IF(C98="","",IF(L98=0,"정상",IF(L98&lt;N98,"Flex 미달",IF(L98&gt;O98,"Flex 초과","정상"))))</x:f>
      </x:c>
      <x:c r="Q98" s="66" t="str">
        <x:f>IF(C98="","",IF(L98=0,0,ROUNDUP(L98/M98,0)*M98))</x:f>
      </x:c>
      <x:c r="R98" s="66" t="str">
        <x:f>IF(C98="","",Q98*SUMIF('07_기준정보'!$B$5:$B$204,C98,'07_기준정보'!$F$5:$F$204))</x:f>
      </x:c>
      <x:c r="S98" s="58" t="str">
        <x:v>미검토</x:v>
      </x:c>
    </x:row>
    <x:row r="99">
      <x:c r="A99" s="69" t="str"/>
      <x:c r="B99" s="69" t="str"/>
      <x:c r="C99" s="58" t="str"/>
      <x:c r="D99" s="58" t="str"/>
      <x:c r="E99" s="58" t="str"/>
      <x:c r="F99" s="70"/>
      <x:c r="G99" s="70"/>
      <x:c r="H99" s="70"/>
      <x:c r="I99" s="70"/>
      <x:c r="J99" s="70"/>
      <x:c r="K99" s="66" t="str">
        <x:f>IF(C99="","",MAX(0,H99-I99+J99))</x:f>
      </x:c>
      <x:c r="L99" s="66" t="str">
        <x:f>IF(C99="","",MAX(0,F99+G99-K99))</x:f>
      </x:c>
      <x:c r="M99" s="66"/>
      <x:c r="N99" s="66" t="str">
        <x:f>IF(C99="","",F99*(1-0.2))</x:f>
      </x:c>
      <x:c r="O99" s="66" t="str">
        <x:f>IF(C99="","",F99*(1+0.2))</x:f>
      </x:c>
      <x:c r="P99" s="60" t="str">
        <x:f>IF(C99="","",IF(L99=0,"정상",IF(L99&lt;N99,"Flex 미달",IF(L99&gt;O99,"Flex 초과","정상"))))</x:f>
      </x:c>
      <x:c r="Q99" s="66" t="str">
        <x:f>IF(C99="","",IF(L99=0,0,ROUNDUP(L99/M99,0)*M99))</x:f>
      </x:c>
      <x:c r="R99" s="66" t="str">
        <x:f>IF(C99="","",Q99*SUMIF('07_기준정보'!$B$5:$B$204,C99,'07_기준정보'!$F$5:$F$204))</x:f>
      </x:c>
      <x:c r="S99" s="58" t="str">
        <x:v>미검토</x:v>
      </x:c>
    </x:row>
    <x:row r="100">
      <x:c r="A100" s="69" t="str"/>
      <x:c r="B100" s="69" t="str"/>
      <x:c r="C100" s="58" t="str"/>
      <x:c r="D100" s="58" t="str"/>
      <x:c r="E100" s="58" t="str"/>
      <x:c r="F100" s="70"/>
      <x:c r="G100" s="70"/>
      <x:c r="H100" s="70"/>
      <x:c r="I100" s="70"/>
      <x:c r="J100" s="70"/>
      <x:c r="K100" s="66" t="str">
        <x:f>IF(C100="","",MAX(0,H100-I100+J100))</x:f>
      </x:c>
      <x:c r="L100" s="66" t="str">
        <x:f>IF(C100="","",MAX(0,F100+G100-K100))</x:f>
      </x:c>
      <x:c r="M100" s="66"/>
      <x:c r="N100" s="66" t="str">
        <x:f>IF(C100="","",F100*(1-0.2))</x:f>
      </x:c>
      <x:c r="O100" s="66" t="str">
        <x:f>IF(C100="","",F100*(1+0.2))</x:f>
      </x:c>
      <x:c r="P100" s="60" t="str">
        <x:f>IF(C100="","",IF(L100=0,"정상",IF(L100&lt;N100,"Flex 미달",IF(L100&gt;O100,"Flex 초과","정상"))))</x:f>
      </x:c>
      <x:c r="Q100" s="66" t="str">
        <x:f>IF(C100="","",IF(L100=0,0,ROUNDUP(L100/M100,0)*M100))</x:f>
      </x:c>
      <x:c r="R100" s="66" t="str">
        <x:f>IF(C100="","",Q100*SUMIF('07_기준정보'!$B$5:$B$204,C100,'07_기준정보'!$F$5:$F$204))</x:f>
      </x:c>
      <x:c r="S100" s="58" t="str">
        <x:v>미검토</x:v>
      </x:c>
    </x:row>
    <x:row r="101">
      <x:c r="A101" s="69" t="str"/>
      <x:c r="B101" s="69" t="str"/>
      <x:c r="C101" s="58" t="str"/>
      <x:c r="D101" s="58" t="str"/>
      <x:c r="E101" s="58" t="str"/>
      <x:c r="F101" s="70"/>
      <x:c r="G101" s="70"/>
      <x:c r="H101" s="70"/>
      <x:c r="I101" s="70"/>
      <x:c r="J101" s="70"/>
      <x:c r="K101" s="66" t="str">
        <x:f>IF(C101="","",MAX(0,H101-I101+J101))</x:f>
      </x:c>
      <x:c r="L101" s="66" t="str">
        <x:f>IF(C101="","",MAX(0,F101+G101-K101))</x:f>
      </x:c>
      <x:c r="M101" s="66"/>
      <x:c r="N101" s="66" t="str">
        <x:f>IF(C101="","",F101*(1-0.2))</x:f>
      </x:c>
      <x:c r="O101" s="66" t="str">
        <x:f>IF(C101="","",F101*(1+0.2))</x:f>
      </x:c>
      <x:c r="P101" s="60" t="str">
        <x:f>IF(C101="","",IF(L101=0,"정상",IF(L101&lt;N101,"Flex 미달",IF(L101&gt;O101,"Flex 초과","정상"))))</x:f>
      </x:c>
      <x:c r="Q101" s="66" t="str">
        <x:f>IF(C101="","",IF(L101=0,0,ROUNDUP(L101/M101,0)*M101))</x:f>
      </x:c>
      <x:c r="R101" s="66" t="str">
        <x:f>IF(C101="","",Q101*SUMIF('07_기준정보'!$B$5:$B$204,C101,'07_기준정보'!$F$5:$F$204))</x:f>
      </x:c>
      <x:c r="S101" s="58" t="str">
        <x:v>미검토</x:v>
      </x:c>
    </x:row>
    <x:row r="102">
      <x:c r="A102" s="69" t="str"/>
      <x:c r="B102" s="69" t="str"/>
      <x:c r="C102" s="58" t="str"/>
      <x:c r="D102" s="58" t="str"/>
      <x:c r="E102" s="58" t="str"/>
      <x:c r="F102" s="70"/>
      <x:c r="G102" s="70"/>
      <x:c r="H102" s="70"/>
      <x:c r="I102" s="70"/>
      <x:c r="J102" s="70"/>
      <x:c r="K102" s="66" t="str">
        <x:f>IF(C102="","",MAX(0,H102-I102+J102))</x:f>
      </x:c>
      <x:c r="L102" s="66" t="str">
        <x:f>IF(C102="","",MAX(0,F102+G102-K102))</x:f>
      </x:c>
      <x:c r="M102" s="66"/>
      <x:c r="N102" s="66" t="str">
        <x:f>IF(C102="","",F102*(1-0.2))</x:f>
      </x:c>
      <x:c r="O102" s="66" t="str">
        <x:f>IF(C102="","",F102*(1+0.2))</x:f>
      </x:c>
      <x:c r="P102" s="60" t="str">
        <x:f>IF(C102="","",IF(L102=0,"정상",IF(L102&lt;N102,"Flex 미달",IF(L102&gt;O102,"Flex 초과","정상"))))</x:f>
      </x:c>
      <x:c r="Q102" s="66" t="str">
        <x:f>IF(C102="","",IF(L102=0,0,ROUNDUP(L102/M102,0)*M102))</x:f>
      </x:c>
      <x:c r="R102" s="66" t="str">
        <x:f>IF(C102="","",Q102*SUMIF('07_기준정보'!$B$5:$B$204,C102,'07_기준정보'!$F$5:$F$204))</x:f>
      </x:c>
      <x:c r="S102" s="58" t="str">
        <x:v>미검토</x:v>
      </x:c>
    </x:row>
    <x:row r="103">
      <x:c r="A103" s="69" t="str"/>
      <x:c r="B103" s="69" t="str"/>
      <x:c r="C103" s="58" t="str"/>
      <x:c r="D103" s="58" t="str"/>
      <x:c r="E103" s="58" t="str"/>
      <x:c r="F103" s="70"/>
      <x:c r="G103" s="70"/>
      <x:c r="H103" s="70"/>
      <x:c r="I103" s="70"/>
      <x:c r="J103" s="70"/>
      <x:c r="K103" s="66" t="str">
        <x:f>IF(C103="","",MAX(0,H103-I103+J103))</x:f>
      </x:c>
      <x:c r="L103" s="66" t="str">
        <x:f>IF(C103="","",MAX(0,F103+G103-K103))</x:f>
      </x:c>
      <x:c r="M103" s="66"/>
      <x:c r="N103" s="66" t="str">
        <x:f>IF(C103="","",F103*(1-0.2))</x:f>
      </x:c>
      <x:c r="O103" s="66" t="str">
        <x:f>IF(C103="","",F103*(1+0.2))</x:f>
      </x:c>
      <x:c r="P103" s="60" t="str">
        <x:f>IF(C103="","",IF(L103=0,"정상",IF(L103&lt;N103,"Flex 미달",IF(L103&gt;O103,"Flex 초과","정상"))))</x:f>
      </x:c>
      <x:c r="Q103" s="66" t="str">
        <x:f>IF(C103="","",IF(L103=0,0,ROUNDUP(L103/M103,0)*M103))</x:f>
      </x:c>
      <x:c r="R103" s="66" t="str">
        <x:f>IF(C103="","",Q103*SUMIF('07_기준정보'!$B$5:$B$204,C103,'07_기준정보'!$F$5:$F$204))</x:f>
      </x:c>
      <x:c r="S103" s="58" t="str">
        <x:v>미검토</x:v>
      </x:c>
    </x:row>
    <x:row r="104">
      <x:c r="A104" s="69" t="str"/>
      <x:c r="B104" s="69" t="str"/>
      <x:c r="C104" s="58" t="str"/>
      <x:c r="D104" s="58" t="str"/>
      <x:c r="E104" s="58" t="str"/>
      <x:c r="F104" s="70"/>
      <x:c r="G104" s="70"/>
      <x:c r="H104" s="70"/>
      <x:c r="I104" s="70"/>
      <x:c r="J104" s="70"/>
      <x:c r="K104" s="66" t="str">
        <x:f>IF(C104="","",MAX(0,H104-I104+J104))</x:f>
      </x:c>
      <x:c r="L104" s="66" t="str">
        <x:f>IF(C104="","",MAX(0,F104+G104-K104))</x:f>
      </x:c>
      <x:c r="M104" s="66"/>
      <x:c r="N104" s="66" t="str">
        <x:f>IF(C104="","",F104*(1-0.2))</x:f>
      </x:c>
      <x:c r="O104" s="66" t="str">
        <x:f>IF(C104="","",F104*(1+0.2))</x:f>
      </x:c>
      <x:c r="P104" s="60" t="str">
        <x:f>IF(C104="","",IF(L104=0,"정상",IF(L104&lt;N104,"Flex 미달",IF(L104&gt;O104,"Flex 초과","정상"))))</x:f>
      </x:c>
      <x:c r="Q104" s="66" t="str">
        <x:f>IF(C104="","",IF(L104=0,0,ROUNDUP(L104/M104,0)*M104))</x:f>
      </x:c>
      <x:c r="R104" s="66" t="str">
        <x:f>IF(C104="","",Q104*SUMIF('07_기준정보'!$B$5:$B$204,C104,'07_기준정보'!$F$5:$F$204))</x:f>
      </x:c>
      <x:c r="S104" s="58" t="str">
        <x:v>미검토</x:v>
      </x:c>
    </x:row>
    <x:row r="105">
      <x:c r="A105" s="69" t="str"/>
      <x:c r="B105" s="69" t="str"/>
      <x:c r="C105" s="58" t="str"/>
      <x:c r="D105" s="58" t="str"/>
      <x:c r="E105" s="58" t="str"/>
      <x:c r="F105" s="70"/>
      <x:c r="G105" s="70"/>
      <x:c r="H105" s="70"/>
      <x:c r="I105" s="70"/>
      <x:c r="J105" s="70"/>
      <x:c r="K105" s="66" t="str">
        <x:f>IF(C105="","",MAX(0,H105-I105+J105))</x:f>
      </x:c>
      <x:c r="L105" s="66" t="str">
        <x:f>IF(C105="","",MAX(0,F105+G105-K105))</x:f>
      </x:c>
      <x:c r="M105" s="66"/>
      <x:c r="N105" s="66" t="str">
        <x:f>IF(C105="","",F105*(1-0.2))</x:f>
      </x:c>
      <x:c r="O105" s="66" t="str">
        <x:f>IF(C105="","",F105*(1+0.2))</x:f>
      </x:c>
      <x:c r="P105" s="60" t="str">
        <x:f>IF(C105="","",IF(L105=0,"정상",IF(L105&lt;N105,"Flex 미달",IF(L105&gt;O105,"Flex 초과","정상"))))</x:f>
      </x:c>
      <x:c r="Q105" s="66" t="str">
        <x:f>IF(C105="","",IF(L105=0,0,ROUNDUP(L105/M105,0)*M105))</x:f>
      </x:c>
      <x:c r="R105" s="66" t="str">
        <x:f>IF(C105="","",Q105*SUMIF('07_기준정보'!$B$5:$B$204,C105,'07_기준정보'!$F$5:$F$204))</x:f>
      </x:c>
      <x:c r="S105" s="58" t="str">
        <x:v>미검토</x:v>
      </x:c>
    </x:row>
    <x:row r="106">
      <x:c r="A106" s="69" t="str"/>
      <x:c r="B106" s="69" t="str"/>
      <x:c r="C106" s="58" t="str"/>
      <x:c r="D106" s="58" t="str"/>
      <x:c r="E106" s="58" t="str"/>
      <x:c r="F106" s="70"/>
      <x:c r="G106" s="70"/>
      <x:c r="H106" s="70"/>
      <x:c r="I106" s="70"/>
      <x:c r="J106" s="70"/>
      <x:c r="K106" s="66" t="str">
        <x:f>IF(C106="","",MAX(0,H106-I106+J106))</x:f>
      </x:c>
      <x:c r="L106" s="66" t="str">
        <x:f>IF(C106="","",MAX(0,F106+G106-K106))</x:f>
      </x:c>
      <x:c r="M106" s="66"/>
      <x:c r="N106" s="66" t="str">
        <x:f>IF(C106="","",F106*(1-0.2))</x:f>
      </x:c>
      <x:c r="O106" s="66" t="str">
        <x:f>IF(C106="","",F106*(1+0.2))</x:f>
      </x:c>
      <x:c r="P106" s="60" t="str">
        <x:f>IF(C106="","",IF(L106=0,"정상",IF(L106&lt;N106,"Flex 미달",IF(L106&gt;O106,"Flex 초과","정상"))))</x:f>
      </x:c>
      <x:c r="Q106" s="66" t="str">
        <x:f>IF(C106="","",IF(L106=0,0,ROUNDUP(L106/M106,0)*M106))</x:f>
      </x:c>
      <x:c r="R106" s="66" t="str">
        <x:f>IF(C106="","",Q106*SUMIF('07_기준정보'!$B$5:$B$204,C106,'07_기준정보'!$F$5:$F$204))</x:f>
      </x:c>
      <x:c r="S106" s="58" t="str">
        <x:v>미검토</x:v>
      </x:c>
    </x:row>
    <x:row r="107">
      <x:c r="A107" s="69" t="str"/>
      <x:c r="B107" s="69" t="str"/>
      <x:c r="C107" s="58" t="str"/>
      <x:c r="D107" s="58" t="str"/>
      <x:c r="E107" s="58" t="str"/>
      <x:c r="F107" s="70"/>
      <x:c r="G107" s="70"/>
      <x:c r="H107" s="70"/>
      <x:c r="I107" s="70"/>
      <x:c r="J107" s="70"/>
      <x:c r="K107" s="66" t="str">
        <x:f>IF(C107="","",MAX(0,H107-I107+J107))</x:f>
      </x:c>
      <x:c r="L107" s="66" t="str">
        <x:f>IF(C107="","",MAX(0,F107+G107-K107))</x:f>
      </x:c>
      <x:c r="M107" s="66"/>
      <x:c r="N107" s="66" t="str">
        <x:f>IF(C107="","",F107*(1-0.2))</x:f>
      </x:c>
      <x:c r="O107" s="66" t="str">
        <x:f>IF(C107="","",F107*(1+0.2))</x:f>
      </x:c>
      <x:c r="P107" s="60" t="str">
        <x:f>IF(C107="","",IF(L107=0,"정상",IF(L107&lt;N107,"Flex 미달",IF(L107&gt;O107,"Flex 초과","정상"))))</x:f>
      </x:c>
      <x:c r="Q107" s="66" t="str">
        <x:f>IF(C107="","",IF(L107=0,0,ROUNDUP(L107/M107,0)*M107))</x:f>
      </x:c>
      <x:c r="R107" s="66" t="str">
        <x:f>IF(C107="","",Q107*SUMIF('07_기준정보'!$B$5:$B$204,C107,'07_기준정보'!$F$5:$F$204))</x:f>
      </x:c>
      <x:c r="S107" s="58" t="str">
        <x:v>미검토</x:v>
      </x:c>
    </x:row>
    <x:row r="108">
      <x:c r="A108" s="69" t="str"/>
      <x:c r="B108" s="69" t="str"/>
      <x:c r="C108" s="58" t="str"/>
      <x:c r="D108" s="58" t="str"/>
      <x:c r="E108" s="58" t="str"/>
      <x:c r="F108" s="70"/>
      <x:c r="G108" s="70"/>
      <x:c r="H108" s="70"/>
      <x:c r="I108" s="70"/>
      <x:c r="J108" s="70"/>
      <x:c r="K108" s="66" t="str">
        <x:f>IF(C108="","",MAX(0,H108-I108+J108))</x:f>
      </x:c>
      <x:c r="L108" s="66" t="str">
        <x:f>IF(C108="","",MAX(0,F108+G108-K108))</x:f>
      </x:c>
      <x:c r="M108" s="66"/>
      <x:c r="N108" s="66" t="str">
        <x:f>IF(C108="","",F108*(1-0.2))</x:f>
      </x:c>
      <x:c r="O108" s="66" t="str">
        <x:f>IF(C108="","",F108*(1+0.2))</x:f>
      </x:c>
      <x:c r="P108" s="60" t="str">
        <x:f>IF(C108="","",IF(L108=0,"정상",IF(L108&lt;N108,"Flex 미달",IF(L108&gt;O108,"Flex 초과","정상"))))</x:f>
      </x:c>
      <x:c r="Q108" s="66" t="str">
        <x:f>IF(C108="","",IF(L108=0,0,ROUNDUP(L108/M108,0)*M108))</x:f>
      </x:c>
      <x:c r="R108" s="66" t="str">
        <x:f>IF(C108="","",Q108*SUMIF('07_기준정보'!$B$5:$B$204,C108,'07_기준정보'!$F$5:$F$204))</x:f>
      </x:c>
      <x:c r="S108" s="58" t="str">
        <x:v>미검토</x:v>
      </x:c>
    </x:row>
    <x:row r="109">
      <x:c r="A109" s="69" t="str"/>
      <x:c r="B109" s="69" t="str"/>
      <x:c r="C109" s="58" t="str"/>
      <x:c r="D109" s="58" t="str"/>
      <x:c r="E109" s="58" t="str"/>
      <x:c r="F109" s="70"/>
      <x:c r="G109" s="70"/>
      <x:c r="H109" s="70"/>
      <x:c r="I109" s="70"/>
      <x:c r="J109" s="70"/>
      <x:c r="K109" s="66" t="str">
        <x:f>IF(C109="","",MAX(0,H109-I109+J109))</x:f>
      </x:c>
      <x:c r="L109" s="66" t="str">
        <x:f>IF(C109="","",MAX(0,F109+G109-K109))</x:f>
      </x:c>
      <x:c r="M109" s="66"/>
      <x:c r="N109" s="66" t="str">
        <x:f>IF(C109="","",F109*(1-0.2))</x:f>
      </x:c>
      <x:c r="O109" s="66" t="str">
        <x:f>IF(C109="","",F109*(1+0.2))</x:f>
      </x:c>
      <x:c r="P109" s="60" t="str">
        <x:f>IF(C109="","",IF(L109=0,"정상",IF(L109&lt;N109,"Flex 미달",IF(L109&gt;O109,"Flex 초과","정상"))))</x:f>
      </x:c>
      <x:c r="Q109" s="66" t="str">
        <x:f>IF(C109="","",IF(L109=0,0,ROUNDUP(L109/M109,0)*M109))</x:f>
      </x:c>
      <x:c r="R109" s="66" t="str">
        <x:f>IF(C109="","",Q109*SUMIF('07_기준정보'!$B$5:$B$204,C109,'07_기준정보'!$F$5:$F$204))</x:f>
      </x:c>
      <x:c r="S109" s="58" t="str">
        <x:v>미검토</x:v>
      </x:c>
    </x:row>
    <x:row r="110">
      <x:c r="A110" s="69" t="str"/>
      <x:c r="B110" s="69" t="str"/>
      <x:c r="C110" s="58" t="str"/>
      <x:c r="D110" s="58" t="str"/>
      <x:c r="E110" s="58" t="str"/>
      <x:c r="F110" s="70"/>
      <x:c r="G110" s="70"/>
      <x:c r="H110" s="70"/>
      <x:c r="I110" s="70"/>
      <x:c r="J110" s="70"/>
      <x:c r="K110" s="66" t="str">
        <x:f>IF(C110="","",MAX(0,H110-I110+J110))</x:f>
      </x:c>
      <x:c r="L110" s="66" t="str">
        <x:f>IF(C110="","",MAX(0,F110+G110-K110))</x:f>
      </x:c>
      <x:c r="M110" s="66"/>
      <x:c r="N110" s="66" t="str">
        <x:f>IF(C110="","",F110*(1-0.2))</x:f>
      </x:c>
      <x:c r="O110" s="66" t="str">
        <x:f>IF(C110="","",F110*(1+0.2))</x:f>
      </x:c>
      <x:c r="P110" s="60" t="str">
        <x:f>IF(C110="","",IF(L110=0,"정상",IF(L110&lt;N110,"Flex 미달",IF(L110&gt;O110,"Flex 초과","정상"))))</x:f>
      </x:c>
      <x:c r="Q110" s="66" t="str">
        <x:f>IF(C110="","",IF(L110=0,0,ROUNDUP(L110/M110,0)*M110))</x:f>
      </x:c>
      <x:c r="R110" s="66" t="str">
        <x:f>IF(C110="","",Q110*SUMIF('07_기준정보'!$B$5:$B$204,C110,'07_기준정보'!$F$5:$F$204))</x:f>
      </x:c>
      <x:c r="S110" s="58" t="str">
        <x:v>미검토</x:v>
      </x:c>
    </x:row>
    <x:row r="111">
      <x:c r="A111" s="69" t="str"/>
      <x:c r="B111" s="69" t="str"/>
      <x:c r="C111" s="58" t="str"/>
      <x:c r="D111" s="58" t="str"/>
      <x:c r="E111" s="58" t="str"/>
      <x:c r="F111" s="70"/>
      <x:c r="G111" s="70"/>
      <x:c r="H111" s="70"/>
      <x:c r="I111" s="70"/>
      <x:c r="J111" s="70"/>
      <x:c r="K111" s="66" t="str">
        <x:f>IF(C111="","",MAX(0,H111-I111+J111))</x:f>
      </x:c>
      <x:c r="L111" s="66" t="str">
        <x:f>IF(C111="","",MAX(0,F111+G111-K111))</x:f>
      </x:c>
      <x:c r="M111" s="66"/>
      <x:c r="N111" s="66" t="str">
        <x:f>IF(C111="","",F111*(1-0.2))</x:f>
      </x:c>
      <x:c r="O111" s="66" t="str">
        <x:f>IF(C111="","",F111*(1+0.2))</x:f>
      </x:c>
      <x:c r="P111" s="60" t="str">
        <x:f>IF(C111="","",IF(L111=0,"정상",IF(L111&lt;N111,"Flex 미달",IF(L111&gt;O111,"Flex 초과","정상"))))</x:f>
      </x:c>
      <x:c r="Q111" s="66" t="str">
        <x:f>IF(C111="","",IF(L111=0,0,ROUNDUP(L111/M111,0)*M111))</x:f>
      </x:c>
      <x:c r="R111" s="66" t="str">
        <x:f>IF(C111="","",Q111*SUMIF('07_기준정보'!$B$5:$B$204,C111,'07_기준정보'!$F$5:$F$204))</x:f>
      </x:c>
      <x:c r="S111" s="58" t="str">
        <x:v>미검토</x:v>
      </x:c>
    </x:row>
    <x:row r="112">
      <x:c r="A112" s="69" t="str"/>
      <x:c r="B112" s="69" t="str"/>
      <x:c r="C112" s="58" t="str"/>
      <x:c r="D112" s="58" t="str"/>
      <x:c r="E112" s="58" t="str"/>
      <x:c r="F112" s="70"/>
      <x:c r="G112" s="70"/>
      <x:c r="H112" s="70"/>
      <x:c r="I112" s="70"/>
      <x:c r="J112" s="70"/>
      <x:c r="K112" s="66" t="str">
        <x:f>IF(C112="","",MAX(0,H112-I112+J112))</x:f>
      </x:c>
      <x:c r="L112" s="66" t="str">
        <x:f>IF(C112="","",MAX(0,F112+G112-K112))</x:f>
      </x:c>
      <x:c r="M112" s="66"/>
      <x:c r="N112" s="66" t="str">
        <x:f>IF(C112="","",F112*(1-0.2))</x:f>
      </x:c>
      <x:c r="O112" s="66" t="str">
        <x:f>IF(C112="","",F112*(1+0.2))</x:f>
      </x:c>
      <x:c r="P112" s="60" t="str">
        <x:f>IF(C112="","",IF(L112=0,"정상",IF(L112&lt;N112,"Flex 미달",IF(L112&gt;O112,"Flex 초과","정상"))))</x:f>
      </x:c>
      <x:c r="Q112" s="66" t="str">
        <x:f>IF(C112="","",IF(L112=0,0,ROUNDUP(L112/M112,0)*M112))</x:f>
      </x:c>
      <x:c r="R112" s="66" t="str">
        <x:f>IF(C112="","",Q112*SUMIF('07_기준정보'!$B$5:$B$204,C112,'07_기준정보'!$F$5:$F$204))</x:f>
      </x:c>
      <x:c r="S112" s="58" t="str">
        <x:v>미검토</x:v>
      </x:c>
    </x:row>
    <x:row r="113">
      <x:c r="A113" s="69" t="str"/>
      <x:c r="B113" s="69" t="str"/>
      <x:c r="C113" s="58" t="str"/>
      <x:c r="D113" s="58" t="str"/>
      <x:c r="E113" s="58" t="str"/>
      <x:c r="F113" s="70"/>
      <x:c r="G113" s="70"/>
      <x:c r="H113" s="70"/>
      <x:c r="I113" s="70"/>
      <x:c r="J113" s="70"/>
      <x:c r="K113" s="66" t="str">
        <x:f>IF(C113="","",MAX(0,H113-I113+J113))</x:f>
      </x:c>
      <x:c r="L113" s="66" t="str">
        <x:f>IF(C113="","",MAX(0,F113+G113-K113))</x:f>
      </x:c>
      <x:c r="M113" s="66"/>
      <x:c r="N113" s="66" t="str">
        <x:f>IF(C113="","",F113*(1-0.2))</x:f>
      </x:c>
      <x:c r="O113" s="66" t="str">
        <x:f>IF(C113="","",F113*(1+0.2))</x:f>
      </x:c>
      <x:c r="P113" s="60" t="str">
        <x:f>IF(C113="","",IF(L113=0,"정상",IF(L113&lt;N113,"Flex 미달",IF(L113&gt;O113,"Flex 초과","정상"))))</x:f>
      </x:c>
      <x:c r="Q113" s="66" t="str">
        <x:f>IF(C113="","",IF(L113=0,0,ROUNDUP(L113/M113,0)*M113))</x:f>
      </x:c>
      <x:c r="R113" s="66" t="str">
        <x:f>IF(C113="","",Q113*SUMIF('07_기준정보'!$B$5:$B$204,C113,'07_기준정보'!$F$5:$F$204))</x:f>
      </x:c>
      <x:c r="S113" s="58" t="str">
        <x:v>미검토</x:v>
      </x:c>
    </x:row>
    <x:row r="114">
      <x:c r="A114" s="69" t="str"/>
      <x:c r="B114" s="69" t="str"/>
      <x:c r="C114" s="58" t="str"/>
      <x:c r="D114" s="58" t="str"/>
      <x:c r="E114" s="58" t="str"/>
      <x:c r="F114" s="70"/>
      <x:c r="G114" s="70"/>
      <x:c r="H114" s="70"/>
      <x:c r="I114" s="70"/>
      <x:c r="J114" s="70"/>
      <x:c r="K114" s="66" t="str">
        <x:f>IF(C114="","",MAX(0,H114-I114+J114))</x:f>
      </x:c>
      <x:c r="L114" s="66" t="str">
        <x:f>IF(C114="","",MAX(0,F114+G114-K114))</x:f>
      </x:c>
      <x:c r="M114" s="66"/>
      <x:c r="N114" s="66" t="str">
        <x:f>IF(C114="","",F114*(1-0.2))</x:f>
      </x:c>
      <x:c r="O114" s="66" t="str">
        <x:f>IF(C114="","",F114*(1+0.2))</x:f>
      </x:c>
      <x:c r="P114" s="60" t="str">
        <x:f>IF(C114="","",IF(L114=0,"정상",IF(L114&lt;N114,"Flex 미달",IF(L114&gt;O114,"Flex 초과","정상"))))</x:f>
      </x:c>
      <x:c r="Q114" s="66" t="str">
        <x:f>IF(C114="","",IF(L114=0,0,ROUNDUP(L114/M114,0)*M114))</x:f>
      </x:c>
      <x:c r="R114" s="66" t="str">
        <x:f>IF(C114="","",Q114*SUMIF('07_기준정보'!$B$5:$B$204,C114,'07_기준정보'!$F$5:$F$204))</x:f>
      </x:c>
      <x:c r="S114" s="58" t="str">
        <x:v>미검토</x:v>
      </x:c>
    </x:row>
    <x:row r="115">
      <x:c r="A115" s="69" t="str"/>
      <x:c r="B115" s="69" t="str"/>
      <x:c r="C115" s="58" t="str"/>
      <x:c r="D115" s="58" t="str"/>
      <x:c r="E115" s="58" t="str"/>
      <x:c r="F115" s="70"/>
      <x:c r="G115" s="70"/>
      <x:c r="H115" s="70"/>
      <x:c r="I115" s="70"/>
      <x:c r="J115" s="70"/>
      <x:c r="K115" s="66" t="str">
        <x:f>IF(C115="","",MAX(0,H115-I115+J115))</x:f>
      </x:c>
      <x:c r="L115" s="66" t="str">
        <x:f>IF(C115="","",MAX(0,F115+G115-K115))</x:f>
      </x:c>
      <x:c r="M115" s="66"/>
      <x:c r="N115" s="66" t="str">
        <x:f>IF(C115="","",F115*(1-0.2))</x:f>
      </x:c>
      <x:c r="O115" s="66" t="str">
        <x:f>IF(C115="","",F115*(1+0.2))</x:f>
      </x:c>
      <x:c r="P115" s="60" t="str">
        <x:f>IF(C115="","",IF(L115=0,"정상",IF(L115&lt;N115,"Flex 미달",IF(L115&gt;O115,"Flex 초과","정상"))))</x:f>
      </x:c>
      <x:c r="Q115" s="66" t="str">
        <x:f>IF(C115="","",IF(L115=0,0,ROUNDUP(L115/M115,0)*M115))</x:f>
      </x:c>
      <x:c r="R115" s="66" t="str">
        <x:f>IF(C115="","",Q115*SUMIF('07_기준정보'!$B$5:$B$204,C115,'07_기준정보'!$F$5:$F$204))</x:f>
      </x:c>
      <x:c r="S115" s="58" t="str">
        <x:v>미검토</x:v>
      </x:c>
    </x:row>
    <x:row r="116">
      <x:c r="A116" s="69" t="str"/>
      <x:c r="B116" s="69" t="str"/>
      <x:c r="C116" s="58" t="str"/>
      <x:c r="D116" s="58" t="str"/>
      <x:c r="E116" s="58" t="str"/>
      <x:c r="F116" s="70"/>
      <x:c r="G116" s="70"/>
      <x:c r="H116" s="70"/>
      <x:c r="I116" s="70"/>
      <x:c r="J116" s="70"/>
      <x:c r="K116" s="66" t="str">
        <x:f>IF(C116="","",MAX(0,H116-I116+J116))</x:f>
      </x:c>
      <x:c r="L116" s="66" t="str">
        <x:f>IF(C116="","",MAX(0,F116+G116-K116))</x:f>
      </x:c>
      <x:c r="M116" s="66"/>
      <x:c r="N116" s="66" t="str">
        <x:f>IF(C116="","",F116*(1-0.2))</x:f>
      </x:c>
      <x:c r="O116" s="66" t="str">
        <x:f>IF(C116="","",F116*(1+0.2))</x:f>
      </x:c>
      <x:c r="P116" s="60" t="str">
        <x:f>IF(C116="","",IF(L116=0,"정상",IF(L116&lt;N116,"Flex 미달",IF(L116&gt;O116,"Flex 초과","정상"))))</x:f>
      </x:c>
      <x:c r="Q116" s="66" t="str">
        <x:f>IF(C116="","",IF(L116=0,0,ROUNDUP(L116/M116,0)*M116))</x:f>
      </x:c>
      <x:c r="R116" s="66" t="str">
        <x:f>IF(C116="","",Q116*SUMIF('07_기준정보'!$B$5:$B$204,C116,'07_기준정보'!$F$5:$F$204))</x:f>
      </x:c>
      <x:c r="S116" s="58" t="str">
        <x:v>미검토</x:v>
      </x:c>
    </x:row>
    <x:row r="117">
      <x:c r="A117" s="69" t="str"/>
      <x:c r="B117" s="69" t="str"/>
      <x:c r="C117" s="58" t="str"/>
      <x:c r="D117" s="58" t="str"/>
      <x:c r="E117" s="58" t="str"/>
      <x:c r="F117" s="70"/>
      <x:c r="G117" s="70"/>
      <x:c r="H117" s="70"/>
      <x:c r="I117" s="70"/>
      <x:c r="J117" s="70"/>
      <x:c r="K117" s="66" t="str">
        <x:f>IF(C117="","",MAX(0,H117-I117+J117))</x:f>
      </x:c>
      <x:c r="L117" s="66" t="str">
        <x:f>IF(C117="","",MAX(0,F117+G117-K117))</x:f>
      </x:c>
      <x:c r="M117" s="66"/>
      <x:c r="N117" s="66" t="str">
        <x:f>IF(C117="","",F117*(1-0.2))</x:f>
      </x:c>
      <x:c r="O117" s="66" t="str">
        <x:f>IF(C117="","",F117*(1+0.2))</x:f>
      </x:c>
      <x:c r="P117" s="60" t="str">
        <x:f>IF(C117="","",IF(L117=0,"정상",IF(L117&lt;N117,"Flex 미달",IF(L117&gt;O117,"Flex 초과","정상"))))</x:f>
      </x:c>
      <x:c r="Q117" s="66" t="str">
        <x:f>IF(C117="","",IF(L117=0,0,ROUNDUP(L117/M117,0)*M117))</x:f>
      </x:c>
      <x:c r="R117" s="66" t="str">
        <x:f>IF(C117="","",Q117*SUMIF('07_기준정보'!$B$5:$B$204,C117,'07_기준정보'!$F$5:$F$204))</x:f>
      </x:c>
      <x:c r="S117" s="58" t="str">
        <x:v>미검토</x:v>
      </x:c>
    </x:row>
    <x:row r="118">
      <x:c r="A118" s="69" t="str"/>
      <x:c r="B118" s="69" t="str"/>
      <x:c r="C118" s="58" t="str"/>
      <x:c r="D118" s="58" t="str"/>
      <x:c r="E118" s="58" t="str"/>
      <x:c r="F118" s="70"/>
      <x:c r="G118" s="70"/>
      <x:c r="H118" s="70"/>
      <x:c r="I118" s="70"/>
      <x:c r="J118" s="70"/>
      <x:c r="K118" s="66" t="str">
        <x:f>IF(C118="","",MAX(0,H118-I118+J118))</x:f>
      </x:c>
      <x:c r="L118" s="66" t="str">
        <x:f>IF(C118="","",MAX(0,F118+G118-K118))</x:f>
      </x:c>
      <x:c r="M118" s="66"/>
      <x:c r="N118" s="66" t="str">
        <x:f>IF(C118="","",F118*(1-0.2))</x:f>
      </x:c>
      <x:c r="O118" s="66" t="str">
        <x:f>IF(C118="","",F118*(1+0.2))</x:f>
      </x:c>
      <x:c r="P118" s="60" t="str">
        <x:f>IF(C118="","",IF(L118=0,"정상",IF(L118&lt;N118,"Flex 미달",IF(L118&gt;O118,"Flex 초과","정상"))))</x:f>
      </x:c>
      <x:c r="Q118" s="66" t="str">
        <x:f>IF(C118="","",IF(L118=0,0,ROUNDUP(L118/M118,0)*M118))</x:f>
      </x:c>
      <x:c r="R118" s="66" t="str">
        <x:f>IF(C118="","",Q118*SUMIF('07_기준정보'!$B$5:$B$204,C118,'07_기준정보'!$F$5:$F$204))</x:f>
      </x:c>
      <x:c r="S118" s="58" t="str">
        <x:v>미검토</x:v>
      </x:c>
    </x:row>
    <x:row r="119">
      <x:c r="A119" s="69" t="str"/>
      <x:c r="B119" s="69" t="str"/>
      <x:c r="C119" s="58" t="str"/>
      <x:c r="D119" s="58" t="str"/>
      <x:c r="E119" s="58" t="str"/>
      <x:c r="F119" s="70"/>
      <x:c r="G119" s="70"/>
      <x:c r="H119" s="70"/>
      <x:c r="I119" s="70"/>
      <x:c r="J119" s="70"/>
      <x:c r="K119" s="66" t="str">
        <x:f>IF(C119="","",MAX(0,H119-I119+J119))</x:f>
      </x:c>
      <x:c r="L119" s="66" t="str">
        <x:f>IF(C119="","",MAX(0,F119+G119-K119))</x:f>
      </x:c>
      <x:c r="M119" s="66"/>
      <x:c r="N119" s="66" t="str">
        <x:f>IF(C119="","",F119*(1-0.2))</x:f>
      </x:c>
      <x:c r="O119" s="66" t="str">
        <x:f>IF(C119="","",F119*(1+0.2))</x:f>
      </x:c>
      <x:c r="P119" s="60" t="str">
        <x:f>IF(C119="","",IF(L119=0,"정상",IF(L119&lt;N119,"Flex 미달",IF(L119&gt;O119,"Flex 초과","정상"))))</x:f>
      </x:c>
      <x:c r="Q119" s="66" t="str">
        <x:f>IF(C119="","",IF(L119=0,0,ROUNDUP(L119/M119,0)*M119))</x:f>
      </x:c>
      <x:c r="R119" s="66" t="str">
        <x:f>IF(C119="","",Q119*SUMIF('07_기준정보'!$B$5:$B$204,C119,'07_기준정보'!$F$5:$F$204))</x:f>
      </x:c>
      <x:c r="S119" s="58" t="str">
        <x:v>미검토</x:v>
      </x:c>
    </x:row>
    <x:row r="120">
      <x:c r="A120" s="69" t="str"/>
      <x:c r="B120" s="69" t="str"/>
      <x:c r="C120" s="58" t="str"/>
      <x:c r="D120" s="58" t="str"/>
      <x:c r="E120" s="58" t="str"/>
      <x:c r="F120" s="70"/>
      <x:c r="G120" s="70"/>
      <x:c r="H120" s="70"/>
      <x:c r="I120" s="70"/>
      <x:c r="J120" s="70"/>
      <x:c r="K120" s="66" t="str">
        <x:f>IF(C120="","",MAX(0,H120-I120+J120))</x:f>
      </x:c>
      <x:c r="L120" s="66" t="str">
        <x:f>IF(C120="","",MAX(0,F120+G120-K120))</x:f>
      </x:c>
      <x:c r="M120" s="66"/>
      <x:c r="N120" s="66" t="str">
        <x:f>IF(C120="","",F120*(1-0.2))</x:f>
      </x:c>
      <x:c r="O120" s="66" t="str">
        <x:f>IF(C120="","",F120*(1+0.2))</x:f>
      </x:c>
      <x:c r="P120" s="60" t="str">
        <x:f>IF(C120="","",IF(L120=0,"정상",IF(L120&lt;N120,"Flex 미달",IF(L120&gt;O120,"Flex 초과","정상"))))</x:f>
      </x:c>
      <x:c r="Q120" s="66" t="str">
        <x:f>IF(C120="","",IF(L120=0,0,ROUNDUP(L120/M120,0)*M120))</x:f>
      </x:c>
      <x:c r="R120" s="66" t="str">
        <x:f>IF(C120="","",Q120*SUMIF('07_기준정보'!$B$5:$B$204,C120,'07_기준정보'!$F$5:$F$204))</x:f>
      </x:c>
      <x:c r="S120" s="58" t="str">
        <x:v>미검토</x:v>
      </x:c>
    </x:row>
    <x:row r="121">
      <x:c r="A121" s="69" t="str"/>
      <x:c r="B121" s="69" t="str"/>
      <x:c r="C121" s="58" t="str"/>
      <x:c r="D121" s="58" t="str"/>
      <x:c r="E121" s="58" t="str"/>
      <x:c r="F121" s="70"/>
      <x:c r="G121" s="70"/>
      <x:c r="H121" s="70"/>
      <x:c r="I121" s="70"/>
      <x:c r="J121" s="70"/>
      <x:c r="K121" s="66" t="str">
        <x:f>IF(C121="","",MAX(0,H121-I121+J121))</x:f>
      </x:c>
      <x:c r="L121" s="66" t="str">
        <x:f>IF(C121="","",MAX(0,F121+G121-K121))</x:f>
      </x:c>
      <x:c r="M121" s="66"/>
      <x:c r="N121" s="66" t="str">
        <x:f>IF(C121="","",F121*(1-0.2))</x:f>
      </x:c>
      <x:c r="O121" s="66" t="str">
        <x:f>IF(C121="","",F121*(1+0.2))</x:f>
      </x:c>
      <x:c r="P121" s="60" t="str">
        <x:f>IF(C121="","",IF(L121=0,"정상",IF(L121&lt;N121,"Flex 미달",IF(L121&gt;O121,"Flex 초과","정상"))))</x:f>
      </x:c>
      <x:c r="Q121" s="66" t="str">
        <x:f>IF(C121="","",IF(L121=0,0,ROUNDUP(L121/M121,0)*M121))</x:f>
      </x:c>
      <x:c r="R121" s="66" t="str">
        <x:f>IF(C121="","",Q121*SUMIF('07_기준정보'!$B$5:$B$204,C121,'07_기준정보'!$F$5:$F$204))</x:f>
      </x:c>
      <x:c r="S121" s="58" t="str">
        <x:v>미검토</x:v>
      </x:c>
    </x:row>
    <x:row r="122">
      <x:c r="A122" s="69" t="str"/>
      <x:c r="B122" s="69" t="str"/>
      <x:c r="C122" s="58" t="str"/>
      <x:c r="D122" s="58" t="str"/>
      <x:c r="E122" s="58" t="str"/>
      <x:c r="F122" s="70"/>
      <x:c r="G122" s="70"/>
      <x:c r="H122" s="70"/>
      <x:c r="I122" s="70"/>
      <x:c r="J122" s="70"/>
      <x:c r="K122" s="66" t="str">
        <x:f>IF(C122="","",MAX(0,H122-I122+J122))</x:f>
      </x:c>
      <x:c r="L122" s="66" t="str">
        <x:f>IF(C122="","",MAX(0,F122+G122-K122))</x:f>
      </x:c>
      <x:c r="M122" s="66"/>
      <x:c r="N122" s="66" t="str">
        <x:f>IF(C122="","",F122*(1-0.2))</x:f>
      </x:c>
      <x:c r="O122" s="66" t="str">
        <x:f>IF(C122="","",F122*(1+0.2))</x:f>
      </x:c>
      <x:c r="P122" s="60" t="str">
        <x:f>IF(C122="","",IF(L122=0,"정상",IF(L122&lt;N122,"Flex 미달",IF(L122&gt;O122,"Flex 초과","정상"))))</x:f>
      </x:c>
      <x:c r="Q122" s="66" t="str">
        <x:f>IF(C122="","",IF(L122=0,0,ROUNDUP(L122/M122,0)*M122))</x:f>
      </x:c>
      <x:c r="R122" s="66" t="str">
        <x:f>IF(C122="","",Q122*SUMIF('07_기준정보'!$B$5:$B$204,C122,'07_기준정보'!$F$5:$F$204))</x:f>
      </x:c>
      <x:c r="S122" s="58" t="str">
        <x:v>미검토</x:v>
      </x:c>
    </x:row>
    <x:row r="123">
      <x:c r="A123" s="69" t="str"/>
      <x:c r="B123" s="69" t="str"/>
      <x:c r="C123" s="58" t="str"/>
      <x:c r="D123" s="58" t="str"/>
      <x:c r="E123" s="58" t="str"/>
      <x:c r="F123" s="70"/>
      <x:c r="G123" s="70"/>
      <x:c r="H123" s="70"/>
      <x:c r="I123" s="70"/>
      <x:c r="J123" s="70"/>
      <x:c r="K123" s="66" t="str">
        <x:f>IF(C123="","",MAX(0,H123-I123+J123))</x:f>
      </x:c>
      <x:c r="L123" s="66" t="str">
        <x:f>IF(C123="","",MAX(0,F123+G123-K123))</x:f>
      </x:c>
      <x:c r="M123" s="66"/>
      <x:c r="N123" s="66" t="str">
        <x:f>IF(C123="","",F123*(1-0.2))</x:f>
      </x:c>
      <x:c r="O123" s="66" t="str">
        <x:f>IF(C123="","",F123*(1+0.2))</x:f>
      </x:c>
      <x:c r="P123" s="60" t="str">
        <x:f>IF(C123="","",IF(L123=0,"정상",IF(L123&lt;N123,"Flex 미달",IF(L123&gt;O123,"Flex 초과","정상"))))</x:f>
      </x:c>
      <x:c r="Q123" s="66" t="str">
        <x:f>IF(C123="","",IF(L123=0,0,ROUNDUP(L123/M123,0)*M123))</x:f>
      </x:c>
      <x:c r="R123" s="66" t="str">
        <x:f>IF(C123="","",Q123*SUMIF('07_기준정보'!$B$5:$B$204,C123,'07_기준정보'!$F$5:$F$204))</x:f>
      </x:c>
      <x:c r="S123" s="58" t="str">
        <x:v>미검토</x:v>
      </x:c>
    </x:row>
    <x:row r="124">
      <x:c r="A124" s="69" t="str"/>
      <x:c r="B124" s="69" t="str"/>
      <x:c r="C124" s="58" t="str"/>
      <x:c r="D124" s="58" t="str"/>
      <x:c r="E124" s="58" t="str"/>
      <x:c r="F124" s="70"/>
      <x:c r="G124" s="70"/>
      <x:c r="H124" s="70"/>
      <x:c r="I124" s="70"/>
      <x:c r="J124" s="70"/>
      <x:c r="K124" s="66" t="str">
        <x:f>IF(C124="","",MAX(0,H124-I124+J124))</x:f>
      </x:c>
      <x:c r="L124" s="66" t="str">
        <x:f>IF(C124="","",MAX(0,F124+G124-K124))</x:f>
      </x:c>
      <x:c r="M124" s="66"/>
      <x:c r="N124" s="66" t="str">
        <x:f>IF(C124="","",F124*(1-0.2))</x:f>
      </x:c>
      <x:c r="O124" s="66" t="str">
        <x:f>IF(C124="","",F124*(1+0.2))</x:f>
      </x:c>
      <x:c r="P124" s="60" t="str">
        <x:f>IF(C124="","",IF(L124=0,"정상",IF(L124&lt;N124,"Flex 미달",IF(L124&gt;O124,"Flex 초과","정상"))))</x:f>
      </x:c>
      <x:c r="Q124" s="66" t="str">
        <x:f>IF(C124="","",IF(L124=0,0,ROUNDUP(L124/M124,0)*M124))</x:f>
      </x:c>
      <x:c r="R124" s="66" t="str">
        <x:f>IF(C124="","",Q124*SUMIF('07_기준정보'!$B$5:$B$204,C124,'07_기준정보'!$F$5:$F$204))</x:f>
      </x:c>
      <x:c r="S124" s="58" t="str">
        <x:v>미검토</x:v>
      </x:c>
    </x:row>
    <x:row r="125">
      <x:c r="A125" s="69" t="str"/>
      <x:c r="B125" s="69" t="str"/>
      <x:c r="C125" s="58" t="str"/>
      <x:c r="D125" s="58" t="str"/>
      <x:c r="E125" s="58" t="str"/>
      <x:c r="F125" s="70"/>
      <x:c r="G125" s="70"/>
      <x:c r="H125" s="70"/>
      <x:c r="I125" s="70"/>
      <x:c r="J125" s="70"/>
      <x:c r="K125" s="66" t="str">
        <x:f>IF(C125="","",MAX(0,H125-I125+J125))</x:f>
      </x:c>
      <x:c r="L125" s="66" t="str">
        <x:f>IF(C125="","",MAX(0,F125+G125-K125))</x:f>
      </x:c>
      <x:c r="M125" s="66"/>
      <x:c r="N125" s="66" t="str">
        <x:f>IF(C125="","",F125*(1-0.2))</x:f>
      </x:c>
      <x:c r="O125" s="66" t="str">
        <x:f>IF(C125="","",F125*(1+0.2))</x:f>
      </x:c>
      <x:c r="P125" s="60" t="str">
        <x:f>IF(C125="","",IF(L125=0,"정상",IF(L125&lt;N125,"Flex 미달",IF(L125&gt;O125,"Flex 초과","정상"))))</x:f>
      </x:c>
      <x:c r="Q125" s="66" t="str">
        <x:f>IF(C125="","",IF(L125=0,0,ROUNDUP(L125/M125,0)*M125))</x:f>
      </x:c>
      <x:c r="R125" s="66" t="str">
        <x:f>IF(C125="","",Q125*SUMIF('07_기준정보'!$B$5:$B$204,C125,'07_기준정보'!$F$5:$F$204))</x:f>
      </x:c>
      <x:c r="S125" s="58" t="str">
        <x:v>미검토</x:v>
      </x:c>
    </x:row>
    <x:row r="126">
      <x:c r="A126" s="69" t="str"/>
      <x:c r="B126" s="69" t="str"/>
      <x:c r="C126" s="58" t="str"/>
      <x:c r="D126" s="58" t="str"/>
      <x:c r="E126" s="58" t="str"/>
      <x:c r="F126" s="70"/>
      <x:c r="G126" s="70"/>
      <x:c r="H126" s="70"/>
      <x:c r="I126" s="70"/>
      <x:c r="J126" s="70"/>
      <x:c r="K126" s="66" t="str">
        <x:f>IF(C126="","",MAX(0,H126-I126+J126))</x:f>
      </x:c>
      <x:c r="L126" s="66" t="str">
        <x:f>IF(C126="","",MAX(0,F126+G126-K126))</x:f>
      </x:c>
      <x:c r="M126" s="66"/>
      <x:c r="N126" s="66" t="str">
        <x:f>IF(C126="","",F126*(1-0.2))</x:f>
      </x:c>
      <x:c r="O126" s="66" t="str">
        <x:f>IF(C126="","",F126*(1+0.2))</x:f>
      </x:c>
      <x:c r="P126" s="60" t="str">
        <x:f>IF(C126="","",IF(L126=0,"정상",IF(L126&lt;N126,"Flex 미달",IF(L126&gt;O126,"Flex 초과","정상"))))</x:f>
      </x:c>
      <x:c r="Q126" s="66" t="str">
        <x:f>IF(C126="","",IF(L126=0,0,ROUNDUP(L126/M126,0)*M126))</x:f>
      </x:c>
      <x:c r="R126" s="66" t="str">
        <x:f>IF(C126="","",Q126*SUMIF('07_기준정보'!$B$5:$B$204,C126,'07_기준정보'!$F$5:$F$204))</x:f>
      </x:c>
      <x:c r="S126" s="58" t="str">
        <x:v>미검토</x:v>
      </x:c>
    </x:row>
    <x:row r="127">
      <x:c r="A127" s="69" t="str"/>
      <x:c r="B127" s="69" t="str"/>
      <x:c r="C127" s="58" t="str"/>
      <x:c r="D127" s="58" t="str"/>
      <x:c r="E127" s="58" t="str"/>
      <x:c r="F127" s="70"/>
      <x:c r="G127" s="70"/>
      <x:c r="H127" s="70"/>
      <x:c r="I127" s="70"/>
      <x:c r="J127" s="70"/>
      <x:c r="K127" s="66" t="str">
        <x:f>IF(C127="","",MAX(0,H127-I127+J127))</x:f>
      </x:c>
      <x:c r="L127" s="66" t="str">
        <x:f>IF(C127="","",MAX(0,F127+G127-K127))</x:f>
      </x:c>
      <x:c r="M127" s="66"/>
      <x:c r="N127" s="66" t="str">
        <x:f>IF(C127="","",F127*(1-0.2))</x:f>
      </x:c>
      <x:c r="O127" s="66" t="str">
        <x:f>IF(C127="","",F127*(1+0.2))</x:f>
      </x:c>
      <x:c r="P127" s="60" t="str">
        <x:f>IF(C127="","",IF(L127=0,"정상",IF(L127&lt;N127,"Flex 미달",IF(L127&gt;O127,"Flex 초과","정상"))))</x:f>
      </x:c>
      <x:c r="Q127" s="66" t="str">
        <x:f>IF(C127="","",IF(L127=0,0,ROUNDUP(L127/M127,0)*M127))</x:f>
      </x:c>
      <x:c r="R127" s="66" t="str">
        <x:f>IF(C127="","",Q127*SUMIF('07_기준정보'!$B$5:$B$204,C127,'07_기준정보'!$F$5:$F$204))</x:f>
      </x:c>
      <x:c r="S127" s="58" t="str">
        <x:v>미검토</x:v>
      </x:c>
    </x:row>
    <x:row r="128">
      <x:c r="A128" s="69" t="str"/>
      <x:c r="B128" s="69" t="str"/>
      <x:c r="C128" s="58" t="str"/>
      <x:c r="D128" s="58" t="str"/>
      <x:c r="E128" s="58" t="str"/>
      <x:c r="F128" s="70"/>
      <x:c r="G128" s="70"/>
      <x:c r="H128" s="70"/>
      <x:c r="I128" s="70"/>
      <x:c r="J128" s="70"/>
      <x:c r="K128" s="66" t="str">
        <x:f>IF(C128="","",MAX(0,H128-I128+J128))</x:f>
      </x:c>
      <x:c r="L128" s="66" t="str">
        <x:f>IF(C128="","",MAX(0,F128+G128-K128))</x:f>
      </x:c>
      <x:c r="M128" s="66"/>
      <x:c r="N128" s="66" t="str">
        <x:f>IF(C128="","",F128*(1-0.2))</x:f>
      </x:c>
      <x:c r="O128" s="66" t="str">
        <x:f>IF(C128="","",F128*(1+0.2))</x:f>
      </x:c>
      <x:c r="P128" s="60" t="str">
        <x:f>IF(C128="","",IF(L128=0,"정상",IF(L128&lt;N128,"Flex 미달",IF(L128&gt;O128,"Flex 초과","정상"))))</x:f>
      </x:c>
      <x:c r="Q128" s="66" t="str">
        <x:f>IF(C128="","",IF(L128=0,0,ROUNDUP(L128/M128,0)*M128))</x:f>
      </x:c>
      <x:c r="R128" s="66" t="str">
        <x:f>IF(C128="","",Q128*SUMIF('07_기준정보'!$B$5:$B$204,C128,'07_기준정보'!$F$5:$F$204))</x:f>
      </x:c>
      <x:c r="S128" s="58" t="str">
        <x:v>미검토</x:v>
      </x:c>
    </x:row>
    <x:row r="129">
      <x:c r="A129" s="69" t="str"/>
      <x:c r="B129" s="69" t="str"/>
      <x:c r="C129" s="58" t="str"/>
      <x:c r="D129" s="58" t="str"/>
      <x:c r="E129" s="58" t="str"/>
      <x:c r="F129" s="70"/>
      <x:c r="G129" s="70"/>
      <x:c r="H129" s="70"/>
      <x:c r="I129" s="70"/>
      <x:c r="J129" s="70"/>
      <x:c r="K129" s="66" t="str">
        <x:f>IF(C129="","",MAX(0,H129-I129+J129))</x:f>
      </x:c>
      <x:c r="L129" s="66" t="str">
        <x:f>IF(C129="","",MAX(0,F129+G129-K129))</x:f>
      </x:c>
      <x:c r="M129" s="66"/>
      <x:c r="N129" s="66" t="str">
        <x:f>IF(C129="","",F129*(1-0.2))</x:f>
      </x:c>
      <x:c r="O129" s="66" t="str">
        <x:f>IF(C129="","",F129*(1+0.2))</x:f>
      </x:c>
      <x:c r="P129" s="60" t="str">
        <x:f>IF(C129="","",IF(L129=0,"정상",IF(L129&lt;N129,"Flex 미달",IF(L129&gt;O129,"Flex 초과","정상"))))</x:f>
      </x:c>
      <x:c r="Q129" s="66" t="str">
        <x:f>IF(C129="","",IF(L129=0,0,ROUNDUP(L129/M129,0)*M129))</x:f>
      </x:c>
      <x:c r="R129" s="66" t="str">
        <x:f>IF(C129="","",Q129*SUMIF('07_기준정보'!$B$5:$B$204,C129,'07_기준정보'!$F$5:$F$204))</x:f>
      </x:c>
      <x:c r="S129" s="58" t="str">
        <x:v>미검토</x:v>
      </x:c>
    </x:row>
    <x:row r="130">
      <x:c r="A130" s="69" t="str"/>
      <x:c r="B130" s="69" t="str"/>
      <x:c r="C130" s="58" t="str"/>
      <x:c r="D130" s="58" t="str"/>
      <x:c r="E130" s="58" t="str"/>
      <x:c r="F130" s="70"/>
      <x:c r="G130" s="70"/>
      <x:c r="H130" s="70"/>
      <x:c r="I130" s="70"/>
      <x:c r="J130" s="70"/>
      <x:c r="K130" s="66" t="str">
        <x:f>IF(C130="","",MAX(0,H130-I130+J130))</x:f>
      </x:c>
      <x:c r="L130" s="66" t="str">
        <x:f>IF(C130="","",MAX(0,F130+G130-K130))</x:f>
      </x:c>
      <x:c r="M130" s="66"/>
      <x:c r="N130" s="66" t="str">
        <x:f>IF(C130="","",F130*(1-0.2))</x:f>
      </x:c>
      <x:c r="O130" s="66" t="str">
        <x:f>IF(C130="","",F130*(1+0.2))</x:f>
      </x:c>
      <x:c r="P130" s="60" t="str">
        <x:f>IF(C130="","",IF(L130=0,"정상",IF(L130&lt;N130,"Flex 미달",IF(L130&gt;O130,"Flex 초과","정상"))))</x:f>
      </x:c>
      <x:c r="Q130" s="66" t="str">
        <x:f>IF(C130="","",IF(L130=0,0,ROUNDUP(L130/M130,0)*M130))</x:f>
      </x:c>
      <x:c r="R130" s="66" t="str">
        <x:f>IF(C130="","",Q130*SUMIF('07_기준정보'!$B$5:$B$204,C130,'07_기준정보'!$F$5:$F$204))</x:f>
      </x:c>
      <x:c r="S130" s="58" t="str">
        <x:v>미검토</x:v>
      </x:c>
    </x:row>
    <x:row r="131">
      <x:c r="A131" s="69" t="str"/>
      <x:c r="B131" s="69" t="str"/>
      <x:c r="C131" s="58" t="str"/>
      <x:c r="D131" s="58" t="str"/>
      <x:c r="E131" s="58" t="str"/>
      <x:c r="F131" s="70"/>
      <x:c r="G131" s="70"/>
      <x:c r="H131" s="70"/>
      <x:c r="I131" s="70"/>
      <x:c r="J131" s="70"/>
      <x:c r="K131" s="66" t="str">
        <x:f>IF(C131="","",MAX(0,H131-I131+J131))</x:f>
      </x:c>
      <x:c r="L131" s="66" t="str">
        <x:f>IF(C131="","",MAX(0,F131+G131-K131))</x:f>
      </x:c>
      <x:c r="M131" s="66"/>
      <x:c r="N131" s="66" t="str">
        <x:f>IF(C131="","",F131*(1-0.2))</x:f>
      </x:c>
      <x:c r="O131" s="66" t="str">
        <x:f>IF(C131="","",F131*(1+0.2))</x:f>
      </x:c>
      <x:c r="P131" s="60" t="str">
        <x:f>IF(C131="","",IF(L131=0,"정상",IF(L131&lt;N131,"Flex 미달",IF(L131&gt;O131,"Flex 초과","정상"))))</x:f>
      </x:c>
      <x:c r="Q131" s="66" t="str">
        <x:f>IF(C131="","",IF(L131=0,0,ROUNDUP(L131/M131,0)*M131))</x:f>
      </x:c>
      <x:c r="R131" s="66" t="str">
        <x:f>IF(C131="","",Q131*SUMIF('07_기준정보'!$B$5:$B$204,C131,'07_기준정보'!$F$5:$F$204))</x:f>
      </x:c>
      <x:c r="S131" s="58" t="str">
        <x:v>미검토</x:v>
      </x:c>
    </x:row>
    <x:row r="132">
      <x:c r="A132" s="69" t="str"/>
      <x:c r="B132" s="69" t="str"/>
      <x:c r="C132" s="58" t="str"/>
      <x:c r="D132" s="58" t="str"/>
      <x:c r="E132" s="58" t="str"/>
      <x:c r="F132" s="70"/>
      <x:c r="G132" s="70"/>
      <x:c r="H132" s="70"/>
      <x:c r="I132" s="70"/>
      <x:c r="J132" s="70"/>
      <x:c r="K132" s="66" t="str">
        <x:f>IF(C132="","",MAX(0,H132-I132+J132))</x:f>
      </x:c>
      <x:c r="L132" s="66" t="str">
        <x:f>IF(C132="","",MAX(0,F132+G132-K132))</x:f>
      </x:c>
      <x:c r="M132" s="66"/>
      <x:c r="N132" s="66" t="str">
        <x:f>IF(C132="","",F132*(1-0.2))</x:f>
      </x:c>
      <x:c r="O132" s="66" t="str">
        <x:f>IF(C132="","",F132*(1+0.2))</x:f>
      </x:c>
      <x:c r="P132" s="60" t="str">
        <x:f>IF(C132="","",IF(L132=0,"정상",IF(L132&lt;N132,"Flex 미달",IF(L132&gt;O132,"Flex 초과","정상"))))</x:f>
      </x:c>
      <x:c r="Q132" s="66" t="str">
        <x:f>IF(C132="","",IF(L132=0,0,ROUNDUP(L132/M132,0)*M132))</x:f>
      </x:c>
      <x:c r="R132" s="66" t="str">
        <x:f>IF(C132="","",Q132*SUMIF('07_기준정보'!$B$5:$B$204,C132,'07_기준정보'!$F$5:$F$204))</x:f>
      </x:c>
      <x:c r="S132" s="58" t="str">
        <x:v>미검토</x:v>
      </x:c>
    </x:row>
    <x:row r="133">
      <x:c r="A133" s="69" t="str"/>
      <x:c r="B133" s="69" t="str"/>
      <x:c r="C133" s="58" t="str"/>
      <x:c r="D133" s="58" t="str"/>
      <x:c r="E133" s="58" t="str"/>
      <x:c r="F133" s="70"/>
      <x:c r="G133" s="70"/>
      <x:c r="H133" s="70"/>
      <x:c r="I133" s="70"/>
      <x:c r="J133" s="70"/>
      <x:c r="K133" s="66" t="str">
        <x:f>IF(C133="","",MAX(0,H133-I133+J133))</x:f>
      </x:c>
      <x:c r="L133" s="66" t="str">
        <x:f>IF(C133="","",MAX(0,F133+G133-K133))</x:f>
      </x:c>
      <x:c r="M133" s="66"/>
      <x:c r="N133" s="66" t="str">
        <x:f>IF(C133="","",F133*(1-0.2))</x:f>
      </x:c>
      <x:c r="O133" s="66" t="str">
        <x:f>IF(C133="","",F133*(1+0.2))</x:f>
      </x:c>
      <x:c r="P133" s="60" t="str">
        <x:f>IF(C133="","",IF(L133=0,"정상",IF(L133&lt;N133,"Flex 미달",IF(L133&gt;O133,"Flex 초과","정상"))))</x:f>
      </x:c>
      <x:c r="Q133" s="66" t="str">
        <x:f>IF(C133="","",IF(L133=0,0,ROUNDUP(L133/M133,0)*M133))</x:f>
      </x:c>
      <x:c r="R133" s="66" t="str">
        <x:f>IF(C133="","",Q133*SUMIF('07_기준정보'!$B$5:$B$204,C133,'07_기준정보'!$F$5:$F$204))</x:f>
      </x:c>
      <x:c r="S133" s="58" t="str">
        <x:v>미검토</x:v>
      </x:c>
    </x:row>
    <x:row r="134">
      <x:c r="A134" s="69" t="str"/>
      <x:c r="B134" s="69" t="str"/>
      <x:c r="C134" s="58" t="str"/>
      <x:c r="D134" s="58" t="str"/>
      <x:c r="E134" s="58" t="str"/>
      <x:c r="F134" s="70"/>
      <x:c r="G134" s="70"/>
      <x:c r="H134" s="70"/>
      <x:c r="I134" s="70"/>
      <x:c r="J134" s="70"/>
      <x:c r="K134" s="66" t="str">
        <x:f>IF(C134="","",MAX(0,H134-I134+J134))</x:f>
      </x:c>
      <x:c r="L134" s="66" t="str">
        <x:f>IF(C134="","",MAX(0,F134+G134-K134))</x:f>
      </x:c>
      <x:c r="M134" s="66"/>
      <x:c r="N134" s="66" t="str">
        <x:f>IF(C134="","",F134*(1-0.2))</x:f>
      </x:c>
      <x:c r="O134" s="66" t="str">
        <x:f>IF(C134="","",F134*(1+0.2))</x:f>
      </x:c>
      <x:c r="P134" s="60" t="str">
        <x:f>IF(C134="","",IF(L134=0,"정상",IF(L134&lt;N134,"Flex 미달",IF(L134&gt;O134,"Flex 초과","정상"))))</x:f>
      </x:c>
      <x:c r="Q134" s="66" t="str">
        <x:f>IF(C134="","",IF(L134=0,0,ROUNDUP(L134/M134,0)*M134))</x:f>
      </x:c>
      <x:c r="R134" s="66" t="str">
        <x:f>IF(C134="","",Q134*SUMIF('07_기준정보'!$B$5:$B$204,C134,'07_기준정보'!$F$5:$F$204))</x:f>
      </x:c>
      <x:c r="S134" s="58" t="str">
        <x:v>미검토</x:v>
      </x:c>
    </x:row>
    <x:row r="135">
      <x:c r="A135" s="69" t="str"/>
      <x:c r="B135" s="69" t="str"/>
      <x:c r="C135" s="58" t="str"/>
      <x:c r="D135" s="58" t="str"/>
      <x:c r="E135" s="58" t="str"/>
      <x:c r="F135" s="70"/>
      <x:c r="G135" s="70"/>
      <x:c r="H135" s="70"/>
      <x:c r="I135" s="70"/>
      <x:c r="J135" s="70"/>
      <x:c r="K135" s="66" t="str">
        <x:f>IF(C135="","",MAX(0,H135-I135+J135))</x:f>
      </x:c>
      <x:c r="L135" s="66" t="str">
        <x:f>IF(C135="","",MAX(0,F135+G135-K135))</x:f>
      </x:c>
      <x:c r="M135" s="66"/>
      <x:c r="N135" s="66" t="str">
        <x:f>IF(C135="","",F135*(1-0.2))</x:f>
      </x:c>
      <x:c r="O135" s="66" t="str">
        <x:f>IF(C135="","",F135*(1+0.2))</x:f>
      </x:c>
      <x:c r="P135" s="60" t="str">
        <x:f>IF(C135="","",IF(L135=0,"정상",IF(L135&lt;N135,"Flex 미달",IF(L135&gt;O135,"Flex 초과","정상"))))</x:f>
      </x:c>
      <x:c r="Q135" s="66" t="str">
        <x:f>IF(C135="","",IF(L135=0,0,ROUNDUP(L135/M135,0)*M135))</x:f>
      </x:c>
      <x:c r="R135" s="66" t="str">
        <x:f>IF(C135="","",Q135*SUMIF('07_기준정보'!$B$5:$B$204,C135,'07_기준정보'!$F$5:$F$204))</x:f>
      </x:c>
      <x:c r="S135" s="58" t="str">
        <x:v>미검토</x:v>
      </x:c>
    </x:row>
    <x:row r="136">
      <x:c r="A136" s="69" t="str"/>
      <x:c r="B136" s="69" t="str"/>
      <x:c r="C136" s="58" t="str"/>
      <x:c r="D136" s="58" t="str"/>
      <x:c r="E136" s="58" t="str"/>
      <x:c r="F136" s="70"/>
      <x:c r="G136" s="70"/>
      <x:c r="H136" s="70"/>
      <x:c r="I136" s="70"/>
      <x:c r="J136" s="70"/>
      <x:c r="K136" s="66" t="str">
        <x:f>IF(C136="","",MAX(0,H136-I136+J136))</x:f>
      </x:c>
      <x:c r="L136" s="66" t="str">
        <x:f>IF(C136="","",MAX(0,F136+G136-K136))</x:f>
      </x:c>
      <x:c r="M136" s="66"/>
      <x:c r="N136" s="66" t="str">
        <x:f>IF(C136="","",F136*(1-0.2))</x:f>
      </x:c>
      <x:c r="O136" s="66" t="str">
        <x:f>IF(C136="","",F136*(1+0.2))</x:f>
      </x:c>
      <x:c r="P136" s="60" t="str">
        <x:f>IF(C136="","",IF(L136=0,"정상",IF(L136&lt;N136,"Flex 미달",IF(L136&gt;O136,"Flex 초과","정상"))))</x:f>
      </x:c>
      <x:c r="Q136" s="66" t="str">
        <x:f>IF(C136="","",IF(L136=0,0,ROUNDUP(L136/M136,0)*M136))</x:f>
      </x:c>
      <x:c r="R136" s="66" t="str">
        <x:f>IF(C136="","",Q136*SUMIF('07_기준정보'!$B$5:$B$204,C136,'07_기준정보'!$F$5:$F$204))</x:f>
      </x:c>
      <x:c r="S136" s="58" t="str">
        <x:v>미검토</x:v>
      </x:c>
    </x:row>
    <x:row r="137">
      <x:c r="A137" s="69" t="str"/>
      <x:c r="B137" s="69" t="str"/>
      <x:c r="C137" s="58" t="str"/>
      <x:c r="D137" s="58" t="str"/>
      <x:c r="E137" s="58" t="str"/>
      <x:c r="F137" s="70"/>
      <x:c r="G137" s="70"/>
      <x:c r="H137" s="70"/>
      <x:c r="I137" s="70"/>
      <x:c r="J137" s="70"/>
      <x:c r="K137" s="66" t="str">
        <x:f>IF(C137="","",MAX(0,H137-I137+J137))</x:f>
      </x:c>
      <x:c r="L137" s="66" t="str">
        <x:f>IF(C137="","",MAX(0,F137+G137-K137))</x:f>
      </x:c>
      <x:c r="M137" s="66"/>
      <x:c r="N137" s="66" t="str">
        <x:f>IF(C137="","",F137*(1-0.2))</x:f>
      </x:c>
      <x:c r="O137" s="66" t="str">
        <x:f>IF(C137="","",F137*(1+0.2))</x:f>
      </x:c>
      <x:c r="P137" s="60" t="str">
        <x:f>IF(C137="","",IF(L137=0,"정상",IF(L137&lt;N137,"Flex 미달",IF(L137&gt;O137,"Flex 초과","정상"))))</x:f>
      </x:c>
      <x:c r="Q137" s="66" t="str">
        <x:f>IF(C137="","",IF(L137=0,0,ROUNDUP(L137/M137,0)*M137))</x:f>
      </x:c>
      <x:c r="R137" s="66" t="str">
        <x:f>IF(C137="","",Q137*SUMIF('07_기준정보'!$B$5:$B$204,C137,'07_기준정보'!$F$5:$F$204))</x:f>
      </x:c>
      <x:c r="S137" s="58" t="str">
        <x:v>미검토</x:v>
      </x:c>
    </x:row>
    <x:row r="138">
      <x:c r="A138" s="69" t="str"/>
      <x:c r="B138" s="69" t="str"/>
      <x:c r="C138" s="58" t="str"/>
      <x:c r="D138" s="58" t="str"/>
      <x:c r="E138" s="58" t="str"/>
      <x:c r="F138" s="70"/>
      <x:c r="G138" s="70"/>
      <x:c r="H138" s="70"/>
      <x:c r="I138" s="70"/>
      <x:c r="J138" s="70"/>
      <x:c r="K138" s="66" t="str">
        <x:f>IF(C138="","",MAX(0,H138-I138+J138))</x:f>
      </x:c>
      <x:c r="L138" s="66" t="str">
        <x:f>IF(C138="","",MAX(0,F138+G138-K138))</x:f>
      </x:c>
      <x:c r="M138" s="66"/>
      <x:c r="N138" s="66" t="str">
        <x:f>IF(C138="","",F138*(1-0.2))</x:f>
      </x:c>
      <x:c r="O138" s="66" t="str">
        <x:f>IF(C138="","",F138*(1+0.2))</x:f>
      </x:c>
      <x:c r="P138" s="60" t="str">
        <x:f>IF(C138="","",IF(L138=0,"정상",IF(L138&lt;N138,"Flex 미달",IF(L138&gt;O138,"Flex 초과","정상"))))</x:f>
      </x:c>
      <x:c r="Q138" s="66" t="str">
        <x:f>IF(C138="","",IF(L138=0,0,ROUNDUP(L138/M138,0)*M138))</x:f>
      </x:c>
      <x:c r="R138" s="66" t="str">
        <x:f>IF(C138="","",Q138*SUMIF('07_기준정보'!$B$5:$B$204,C138,'07_기준정보'!$F$5:$F$204))</x:f>
      </x:c>
      <x:c r="S138" s="58" t="str">
        <x:v>미검토</x:v>
      </x:c>
    </x:row>
    <x:row r="139">
      <x:c r="A139" s="69" t="str"/>
      <x:c r="B139" s="69" t="str"/>
      <x:c r="C139" s="58" t="str"/>
      <x:c r="D139" s="58" t="str"/>
      <x:c r="E139" s="58" t="str"/>
      <x:c r="F139" s="70"/>
      <x:c r="G139" s="70"/>
      <x:c r="H139" s="70"/>
      <x:c r="I139" s="70"/>
      <x:c r="J139" s="70"/>
      <x:c r="K139" s="66" t="str">
        <x:f>IF(C139="","",MAX(0,H139-I139+J139))</x:f>
      </x:c>
      <x:c r="L139" s="66" t="str">
        <x:f>IF(C139="","",MAX(0,F139+G139-K139))</x:f>
      </x:c>
      <x:c r="M139" s="66"/>
      <x:c r="N139" s="66" t="str">
        <x:f>IF(C139="","",F139*(1-0.2))</x:f>
      </x:c>
      <x:c r="O139" s="66" t="str">
        <x:f>IF(C139="","",F139*(1+0.2))</x:f>
      </x:c>
      <x:c r="P139" s="60" t="str">
        <x:f>IF(C139="","",IF(L139=0,"정상",IF(L139&lt;N139,"Flex 미달",IF(L139&gt;O139,"Flex 초과","정상"))))</x:f>
      </x:c>
      <x:c r="Q139" s="66" t="str">
        <x:f>IF(C139="","",IF(L139=0,0,ROUNDUP(L139/M139,0)*M139))</x:f>
      </x:c>
      <x:c r="R139" s="66" t="str">
        <x:f>IF(C139="","",Q139*SUMIF('07_기준정보'!$B$5:$B$204,C139,'07_기준정보'!$F$5:$F$204))</x:f>
      </x:c>
      <x:c r="S139" s="58" t="str">
        <x:v>미검토</x:v>
      </x:c>
    </x:row>
    <x:row r="140">
      <x:c r="A140" s="69" t="str"/>
      <x:c r="B140" s="69" t="str"/>
      <x:c r="C140" s="58" t="str"/>
      <x:c r="D140" s="58" t="str"/>
      <x:c r="E140" s="58" t="str"/>
      <x:c r="F140" s="70"/>
      <x:c r="G140" s="70"/>
      <x:c r="H140" s="70"/>
      <x:c r="I140" s="70"/>
      <x:c r="J140" s="70"/>
      <x:c r="K140" s="66" t="str">
        <x:f>IF(C140="","",MAX(0,H140-I140+J140))</x:f>
      </x:c>
      <x:c r="L140" s="66" t="str">
        <x:f>IF(C140="","",MAX(0,F140+G140-K140))</x:f>
      </x:c>
      <x:c r="M140" s="66"/>
      <x:c r="N140" s="66" t="str">
        <x:f>IF(C140="","",F140*(1-0.2))</x:f>
      </x:c>
      <x:c r="O140" s="66" t="str">
        <x:f>IF(C140="","",F140*(1+0.2))</x:f>
      </x:c>
      <x:c r="P140" s="60" t="str">
        <x:f>IF(C140="","",IF(L140=0,"정상",IF(L140&lt;N140,"Flex 미달",IF(L140&gt;O140,"Flex 초과","정상"))))</x:f>
      </x:c>
      <x:c r="Q140" s="66" t="str">
        <x:f>IF(C140="","",IF(L140=0,0,ROUNDUP(L140/M140,0)*M140))</x:f>
      </x:c>
      <x:c r="R140" s="66" t="str">
        <x:f>IF(C140="","",Q140*SUMIF('07_기준정보'!$B$5:$B$204,C140,'07_기준정보'!$F$5:$F$204))</x:f>
      </x:c>
      <x:c r="S140" s="58" t="str">
        <x:v>미검토</x:v>
      </x:c>
    </x:row>
    <x:row r="141">
      <x:c r="A141" s="69" t="str"/>
      <x:c r="B141" s="69" t="str"/>
      <x:c r="C141" s="58" t="str"/>
      <x:c r="D141" s="58" t="str"/>
      <x:c r="E141" s="58" t="str"/>
      <x:c r="F141" s="70"/>
      <x:c r="G141" s="70"/>
      <x:c r="H141" s="70"/>
      <x:c r="I141" s="70"/>
      <x:c r="J141" s="70"/>
      <x:c r="K141" s="66" t="str">
        <x:f>IF(C141="","",MAX(0,H141-I141+J141))</x:f>
      </x:c>
      <x:c r="L141" s="66" t="str">
        <x:f>IF(C141="","",MAX(0,F141+G141-K141))</x:f>
      </x:c>
      <x:c r="M141" s="66"/>
      <x:c r="N141" s="66" t="str">
        <x:f>IF(C141="","",F141*(1-0.2))</x:f>
      </x:c>
      <x:c r="O141" s="66" t="str">
        <x:f>IF(C141="","",F141*(1+0.2))</x:f>
      </x:c>
      <x:c r="P141" s="60" t="str">
        <x:f>IF(C141="","",IF(L141=0,"정상",IF(L141&lt;N141,"Flex 미달",IF(L141&gt;O141,"Flex 초과","정상"))))</x:f>
      </x:c>
      <x:c r="Q141" s="66" t="str">
        <x:f>IF(C141="","",IF(L141=0,0,ROUNDUP(L141/M141,0)*M141))</x:f>
      </x:c>
      <x:c r="R141" s="66" t="str">
        <x:f>IF(C141="","",Q141*SUMIF('07_기준정보'!$B$5:$B$204,C141,'07_기준정보'!$F$5:$F$204))</x:f>
      </x:c>
      <x:c r="S141" s="58" t="str">
        <x:v>미검토</x:v>
      </x:c>
    </x:row>
    <x:row r="142">
      <x:c r="A142" s="69" t="str"/>
      <x:c r="B142" s="69" t="str"/>
      <x:c r="C142" s="58" t="str"/>
      <x:c r="D142" s="58" t="str"/>
      <x:c r="E142" s="58" t="str"/>
      <x:c r="F142" s="70"/>
      <x:c r="G142" s="70"/>
      <x:c r="H142" s="70"/>
      <x:c r="I142" s="70"/>
      <x:c r="J142" s="70"/>
      <x:c r="K142" s="66" t="str">
        <x:f>IF(C142="","",MAX(0,H142-I142+J142))</x:f>
      </x:c>
      <x:c r="L142" s="66" t="str">
        <x:f>IF(C142="","",MAX(0,F142+G142-K142))</x:f>
      </x:c>
      <x:c r="M142" s="66"/>
      <x:c r="N142" s="66" t="str">
        <x:f>IF(C142="","",F142*(1-0.2))</x:f>
      </x:c>
      <x:c r="O142" s="66" t="str">
        <x:f>IF(C142="","",F142*(1+0.2))</x:f>
      </x:c>
      <x:c r="P142" s="60" t="str">
        <x:f>IF(C142="","",IF(L142=0,"정상",IF(L142&lt;N142,"Flex 미달",IF(L142&gt;O142,"Flex 초과","정상"))))</x:f>
      </x:c>
      <x:c r="Q142" s="66" t="str">
        <x:f>IF(C142="","",IF(L142=0,0,ROUNDUP(L142/M142,0)*M142))</x:f>
      </x:c>
      <x:c r="R142" s="66" t="str">
        <x:f>IF(C142="","",Q142*SUMIF('07_기준정보'!$B$5:$B$204,C142,'07_기준정보'!$F$5:$F$204))</x:f>
      </x:c>
      <x:c r="S142" s="58" t="str">
        <x:v>미검토</x:v>
      </x:c>
    </x:row>
    <x:row r="143">
      <x:c r="A143" s="69" t="str"/>
      <x:c r="B143" s="69" t="str"/>
      <x:c r="C143" s="58" t="str"/>
      <x:c r="D143" s="58" t="str"/>
      <x:c r="E143" s="58" t="str"/>
      <x:c r="F143" s="70"/>
      <x:c r="G143" s="70"/>
      <x:c r="H143" s="70"/>
      <x:c r="I143" s="70"/>
      <x:c r="J143" s="70"/>
      <x:c r="K143" s="66" t="str">
        <x:f>IF(C143="","",MAX(0,H143-I143+J143))</x:f>
      </x:c>
      <x:c r="L143" s="66" t="str">
        <x:f>IF(C143="","",MAX(0,F143+G143-K143))</x:f>
      </x:c>
      <x:c r="M143" s="66"/>
      <x:c r="N143" s="66" t="str">
        <x:f>IF(C143="","",F143*(1-0.2))</x:f>
      </x:c>
      <x:c r="O143" s="66" t="str">
        <x:f>IF(C143="","",F143*(1+0.2))</x:f>
      </x:c>
      <x:c r="P143" s="60" t="str">
        <x:f>IF(C143="","",IF(L143=0,"정상",IF(L143&lt;N143,"Flex 미달",IF(L143&gt;O143,"Flex 초과","정상"))))</x:f>
      </x:c>
      <x:c r="Q143" s="66" t="str">
        <x:f>IF(C143="","",IF(L143=0,0,ROUNDUP(L143/M143,0)*M143))</x:f>
      </x:c>
      <x:c r="R143" s="66" t="str">
        <x:f>IF(C143="","",Q143*SUMIF('07_기준정보'!$B$5:$B$204,C143,'07_기준정보'!$F$5:$F$204))</x:f>
      </x:c>
      <x:c r="S143" s="58" t="str">
        <x:v>미검토</x:v>
      </x:c>
    </x:row>
    <x:row r="144">
      <x:c r="A144" s="69" t="str"/>
      <x:c r="B144" s="69" t="str"/>
      <x:c r="C144" s="58" t="str"/>
      <x:c r="D144" s="58" t="str"/>
      <x:c r="E144" s="58" t="str"/>
      <x:c r="F144" s="70"/>
      <x:c r="G144" s="70"/>
      <x:c r="H144" s="70"/>
      <x:c r="I144" s="70"/>
      <x:c r="J144" s="70"/>
      <x:c r="K144" s="66" t="str">
        <x:f>IF(C144="","",MAX(0,H144-I144+J144))</x:f>
      </x:c>
      <x:c r="L144" s="66" t="str">
        <x:f>IF(C144="","",MAX(0,F144+G144-K144))</x:f>
      </x:c>
      <x:c r="M144" s="66"/>
      <x:c r="N144" s="66" t="str">
        <x:f>IF(C144="","",F144*(1-0.2))</x:f>
      </x:c>
      <x:c r="O144" s="66" t="str">
        <x:f>IF(C144="","",F144*(1+0.2))</x:f>
      </x:c>
      <x:c r="P144" s="60" t="str">
        <x:f>IF(C144="","",IF(L144=0,"정상",IF(L144&lt;N144,"Flex 미달",IF(L144&gt;O144,"Flex 초과","정상"))))</x:f>
      </x:c>
      <x:c r="Q144" s="66" t="str">
        <x:f>IF(C144="","",IF(L144=0,0,ROUNDUP(L144/M144,0)*M144))</x:f>
      </x:c>
      <x:c r="R144" s="66" t="str">
        <x:f>IF(C144="","",Q144*SUMIF('07_기준정보'!$B$5:$B$204,C144,'07_기준정보'!$F$5:$F$204))</x:f>
      </x:c>
      <x:c r="S144" s="58" t="str">
        <x:v>미검토</x:v>
      </x:c>
    </x:row>
    <x:row r="145">
      <x:c r="A145" s="69" t="str"/>
      <x:c r="B145" s="69" t="str"/>
      <x:c r="C145" s="58" t="str"/>
      <x:c r="D145" s="58" t="str"/>
      <x:c r="E145" s="58" t="str"/>
      <x:c r="F145" s="70"/>
      <x:c r="G145" s="70"/>
      <x:c r="H145" s="70"/>
      <x:c r="I145" s="70"/>
      <x:c r="J145" s="70"/>
      <x:c r="K145" s="66" t="str">
        <x:f>IF(C145="","",MAX(0,H145-I145+J145))</x:f>
      </x:c>
      <x:c r="L145" s="66" t="str">
        <x:f>IF(C145="","",MAX(0,F145+G145-K145))</x:f>
      </x:c>
      <x:c r="M145" s="66"/>
      <x:c r="N145" s="66" t="str">
        <x:f>IF(C145="","",F145*(1-0.2))</x:f>
      </x:c>
      <x:c r="O145" s="66" t="str">
        <x:f>IF(C145="","",F145*(1+0.2))</x:f>
      </x:c>
      <x:c r="P145" s="60" t="str">
        <x:f>IF(C145="","",IF(L145=0,"정상",IF(L145&lt;N145,"Flex 미달",IF(L145&gt;O145,"Flex 초과","정상"))))</x:f>
      </x:c>
      <x:c r="Q145" s="66" t="str">
        <x:f>IF(C145="","",IF(L145=0,0,ROUNDUP(L145/M145,0)*M145))</x:f>
      </x:c>
      <x:c r="R145" s="66" t="str">
        <x:f>IF(C145="","",Q145*SUMIF('07_기준정보'!$B$5:$B$204,C145,'07_기준정보'!$F$5:$F$204))</x:f>
      </x:c>
      <x:c r="S145" s="58" t="str">
        <x:v>미검토</x:v>
      </x:c>
    </x:row>
    <x:row r="146">
      <x:c r="A146" s="69" t="str"/>
      <x:c r="B146" s="69" t="str"/>
      <x:c r="C146" s="58" t="str"/>
      <x:c r="D146" s="58" t="str"/>
      <x:c r="E146" s="58" t="str"/>
      <x:c r="F146" s="70"/>
      <x:c r="G146" s="70"/>
      <x:c r="H146" s="70"/>
      <x:c r="I146" s="70"/>
      <x:c r="J146" s="70"/>
      <x:c r="K146" s="66" t="str">
        <x:f>IF(C146="","",MAX(0,H146-I146+J146))</x:f>
      </x:c>
      <x:c r="L146" s="66" t="str">
        <x:f>IF(C146="","",MAX(0,F146+G146-K146))</x:f>
      </x:c>
      <x:c r="M146" s="66"/>
      <x:c r="N146" s="66" t="str">
        <x:f>IF(C146="","",F146*(1-0.2))</x:f>
      </x:c>
      <x:c r="O146" s="66" t="str">
        <x:f>IF(C146="","",F146*(1+0.2))</x:f>
      </x:c>
      <x:c r="P146" s="60" t="str">
        <x:f>IF(C146="","",IF(L146=0,"정상",IF(L146&lt;N146,"Flex 미달",IF(L146&gt;O146,"Flex 초과","정상"))))</x:f>
      </x:c>
      <x:c r="Q146" s="66" t="str">
        <x:f>IF(C146="","",IF(L146=0,0,ROUNDUP(L146/M146,0)*M146))</x:f>
      </x:c>
      <x:c r="R146" s="66" t="str">
        <x:f>IF(C146="","",Q146*SUMIF('07_기준정보'!$B$5:$B$204,C146,'07_기준정보'!$F$5:$F$204))</x:f>
      </x:c>
      <x:c r="S146" s="58" t="str">
        <x:v>미검토</x:v>
      </x:c>
    </x:row>
    <x:row r="147">
      <x:c r="A147" s="69" t="str"/>
      <x:c r="B147" s="69" t="str"/>
      <x:c r="C147" s="58" t="str"/>
      <x:c r="D147" s="58" t="str"/>
      <x:c r="E147" s="58" t="str"/>
      <x:c r="F147" s="70"/>
      <x:c r="G147" s="70"/>
      <x:c r="H147" s="70"/>
      <x:c r="I147" s="70"/>
      <x:c r="J147" s="70"/>
      <x:c r="K147" s="66" t="str">
        <x:f>IF(C147="","",MAX(0,H147-I147+J147))</x:f>
      </x:c>
      <x:c r="L147" s="66" t="str">
        <x:f>IF(C147="","",MAX(0,F147+G147-K147))</x:f>
      </x:c>
      <x:c r="M147" s="66"/>
      <x:c r="N147" s="66" t="str">
        <x:f>IF(C147="","",F147*(1-0.2))</x:f>
      </x:c>
      <x:c r="O147" s="66" t="str">
        <x:f>IF(C147="","",F147*(1+0.2))</x:f>
      </x:c>
      <x:c r="P147" s="60" t="str">
        <x:f>IF(C147="","",IF(L147=0,"정상",IF(L147&lt;N147,"Flex 미달",IF(L147&gt;O147,"Flex 초과","정상"))))</x:f>
      </x:c>
      <x:c r="Q147" s="66" t="str">
        <x:f>IF(C147="","",IF(L147=0,0,ROUNDUP(L147/M147,0)*M147))</x:f>
      </x:c>
      <x:c r="R147" s="66" t="str">
        <x:f>IF(C147="","",Q147*SUMIF('07_기준정보'!$B$5:$B$204,C147,'07_기준정보'!$F$5:$F$204))</x:f>
      </x:c>
      <x:c r="S147" s="58" t="str">
        <x:v>미검토</x:v>
      </x:c>
    </x:row>
    <x:row r="148">
      <x:c r="A148" s="69" t="str"/>
      <x:c r="B148" s="69" t="str"/>
      <x:c r="C148" s="58" t="str"/>
      <x:c r="D148" s="58" t="str"/>
      <x:c r="E148" s="58" t="str"/>
      <x:c r="F148" s="70"/>
      <x:c r="G148" s="70"/>
      <x:c r="H148" s="70"/>
      <x:c r="I148" s="70"/>
      <x:c r="J148" s="70"/>
      <x:c r="K148" s="66" t="str">
        <x:f>IF(C148="","",MAX(0,H148-I148+J148))</x:f>
      </x:c>
      <x:c r="L148" s="66" t="str">
        <x:f>IF(C148="","",MAX(0,F148+G148-K148))</x:f>
      </x:c>
      <x:c r="M148" s="66"/>
      <x:c r="N148" s="66" t="str">
        <x:f>IF(C148="","",F148*(1-0.2))</x:f>
      </x:c>
      <x:c r="O148" s="66" t="str">
        <x:f>IF(C148="","",F148*(1+0.2))</x:f>
      </x:c>
      <x:c r="P148" s="60" t="str">
        <x:f>IF(C148="","",IF(L148=0,"정상",IF(L148&lt;N148,"Flex 미달",IF(L148&gt;O148,"Flex 초과","정상"))))</x:f>
      </x:c>
      <x:c r="Q148" s="66" t="str">
        <x:f>IF(C148="","",IF(L148=0,0,ROUNDUP(L148/M148,0)*M148))</x:f>
      </x:c>
      <x:c r="R148" s="66" t="str">
        <x:f>IF(C148="","",Q148*SUMIF('07_기준정보'!$B$5:$B$204,C148,'07_기준정보'!$F$5:$F$204))</x:f>
      </x:c>
      <x:c r="S148" s="58" t="str">
        <x:v>미검토</x:v>
      </x:c>
    </x:row>
    <x:row r="149">
      <x:c r="A149" s="69" t="str"/>
      <x:c r="B149" s="69" t="str"/>
      <x:c r="C149" s="58" t="str"/>
      <x:c r="D149" s="58" t="str"/>
      <x:c r="E149" s="58" t="str"/>
      <x:c r="F149" s="70"/>
      <x:c r="G149" s="70"/>
      <x:c r="H149" s="70"/>
      <x:c r="I149" s="70"/>
      <x:c r="J149" s="70"/>
      <x:c r="K149" s="66" t="str">
        <x:f>IF(C149="","",MAX(0,H149-I149+J149))</x:f>
      </x:c>
      <x:c r="L149" s="66" t="str">
        <x:f>IF(C149="","",MAX(0,F149+G149-K149))</x:f>
      </x:c>
      <x:c r="M149" s="66"/>
      <x:c r="N149" s="66" t="str">
        <x:f>IF(C149="","",F149*(1-0.2))</x:f>
      </x:c>
      <x:c r="O149" s="66" t="str">
        <x:f>IF(C149="","",F149*(1+0.2))</x:f>
      </x:c>
      <x:c r="P149" s="60" t="str">
        <x:f>IF(C149="","",IF(L149=0,"정상",IF(L149&lt;N149,"Flex 미달",IF(L149&gt;O149,"Flex 초과","정상"))))</x:f>
      </x:c>
      <x:c r="Q149" s="66" t="str">
        <x:f>IF(C149="","",IF(L149=0,0,ROUNDUP(L149/M149,0)*M149))</x:f>
      </x:c>
      <x:c r="R149" s="66" t="str">
        <x:f>IF(C149="","",Q149*SUMIF('07_기준정보'!$B$5:$B$204,C149,'07_기준정보'!$F$5:$F$204))</x:f>
      </x:c>
      <x:c r="S149" s="58" t="str">
        <x:v>미검토</x:v>
      </x:c>
    </x:row>
    <x:row r="150">
      <x:c r="A150" s="69" t="str"/>
      <x:c r="B150" s="69" t="str"/>
      <x:c r="C150" s="58" t="str"/>
      <x:c r="D150" s="58" t="str"/>
      <x:c r="E150" s="58" t="str"/>
      <x:c r="F150" s="70"/>
      <x:c r="G150" s="70"/>
      <x:c r="H150" s="70"/>
      <x:c r="I150" s="70"/>
      <x:c r="J150" s="70"/>
      <x:c r="K150" s="66" t="str">
        <x:f>IF(C150="","",MAX(0,H150-I150+J150))</x:f>
      </x:c>
      <x:c r="L150" s="66" t="str">
        <x:f>IF(C150="","",MAX(0,F150+G150-K150))</x:f>
      </x:c>
      <x:c r="M150" s="66"/>
      <x:c r="N150" s="66" t="str">
        <x:f>IF(C150="","",F150*(1-0.2))</x:f>
      </x:c>
      <x:c r="O150" s="66" t="str">
        <x:f>IF(C150="","",F150*(1+0.2))</x:f>
      </x:c>
      <x:c r="P150" s="60" t="str">
        <x:f>IF(C150="","",IF(L150=0,"정상",IF(L150&lt;N150,"Flex 미달",IF(L150&gt;O150,"Flex 초과","정상"))))</x:f>
      </x:c>
      <x:c r="Q150" s="66" t="str">
        <x:f>IF(C150="","",IF(L150=0,0,ROUNDUP(L150/M150,0)*M150))</x:f>
      </x:c>
      <x:c r="R150" s="66" t="str">
        <x:f>IF(C150="","",Q150*SUMIF('07_기준정보'!$B$5:$B$204,C150,'07_기준정보'!$F$5:$F$204))</x:f>
      </x:c>
      <x:c r="S150" s="58" t="str">
        <x:v>미검토</x:v>
      </x:c>
    </x:row>
    <x:row r="151">
      <x:c r="A151" s="69" t="str"/>
      <x:c r="B151" s="69" t="str"/>
      <x:c r="C151" s="58" t="str"/>
      <x:c r="D151" s="58" t="str"/>
      <x:c r="E151" s="58" t="str"/>
      <x:c r="F151" s="70"/>
      <x:c r="G151" s="70"/>
      <x:c r="H151" s="70"/>
      <x:c r="I151" s="70"/>
      <x:c r="J151" s="70"/>
      <x:c r="K151" s="66" t="str">
        <x:f>IF(C151="","",MAX(0,H151-I151+J151))</x:f>
      </x:c>
      <x:c r="L151" s="66" t="str">
        <x:f>IF(C151="","",MAX(0,F151+G151-K151))</x:f>
      </x:c>
      <x:c r="M151" s="66"/>
      <x:c r="N151" s="66" t="str">
        <x:f>IF(C151="","",F151*(1-0.2))</x:f>
      </x:c>
      <x:c r="O151" s="66" t="str">
        <x:f>IF(C151="","",F151*(1+0.2))</x:f>
      </x:c>
      <x:c r="P151" s="60" t="str">
        <x:f>IF(C151="","",IF(L151=0,"정상",IF(L151&lt;N151,"Flex 미달",IF(L151&gt;O151,"Flex 초과","정상"))))</x:f>
      </x:c>
      <x:c r="Q151" s="66" t="str">
        <x:f>IF(C151="","",IF(L151=0,0,ROUNDUP(L151/M151,0)*M151))</x:f>
      </x:c>
      <x:c r="R151" s="66" t="str">
        <x:f>IF(C151="","",Q151*SUMIF('07_기준정보'!$B$5:$B$204,C151,'07_기준정보'!$F$5:$F$204))</x:f>
      </x:c>
      <x:c r="S151" s="58" t="str">
        <x:v>미검토</x:v>
      </x:c>
    </x:row>
    <x:row r="152">
      <x:c r="A152" s="69" t="str"/>
      <x:c r="B152" s="69" t="str"/>
      <x:c r="C152" s="58" t="str"/>
      <x:c r="D152" s="58" t="str"/>
      <x:c r="E152" s="58" t="str"/>
      <x:c r="F152" s="70"/>
      <x:c r="G152" s="70"/>
      <x:c r="H152" s="70"/>
      <x:c r="I152" s="70"/>
      <x:c r="J152" s="70"/>
      <x:c r="K152" s="66" t="str">
        <x:f>IF(C152="","",MAX(0,H152-I152+J152))</x:f>
      </x:c>
      <x:c r="L152" s="66" t="str">
        <x:f>IF(C152="","",MAX(0,F152+G152-K152))</x:f>
      </x:c>
      <x:c r="M152" s="66"/>
      <x:c r="N152" s="66" t="str">
        <x:f>IF(C152="","",F152*(1-0.2))</x:f>
      </x:c>
      <x:c r="O152" s="66" t="str">
        <x:f>IF(C152="","",F152*(1+0.2))</x:f>
      </x:c>
      <x:c r="P152" s="60" t="str">
        <x:f>IF(C152="","",IF(L152=0,"정상",IF(L152&lt;N152,"Flex 미달",IF(L152&gt;O152,"Flex 초과","정상"))))</x:f>
      </x:c>
      <x:c r="Q152" s="66" t="str">
        <x:f>IF(C152="","",IF(L152=0,0,ROUNDUP(L152/M152,0)*M152))</x:f>
      </x:c>
      <x:c r="R152" s="66" t="str">
        <x:f>IF(C152="","",Q152*SUMIF('07_기준정보'!$B$5:$B$204,C152,'07_기준정보'!$F$5:$F$204))</x:f>
      </x:c>
      <x:c r="S152" s="58" t="str">
        <x:v>미검토</x:v>
      </x:c>
    </x:row>
    <x:row r="153">
      <x:c r="A153" s="69" t="str"/>
      <x:c r="B153" s="69" t="str"/>
      <x:c r="C153" s="58" t="str"/>
      <x:c r="D153" s="58" t="str"/>
      <x:c r="E153" s="58" t="str"/>
      <x:c r="F153" s="70"/>
      <x:c r="G153" s="70"/>
      <x:c r="H153" s="70"/>
      <x:c r="I153" s="70"/>
      <x:c r="J153" s="70"/>
      <x:c r="K153" s="66" t="str">
        <x:f>IF(C153="","",MAX(0,H153-I153+J153))</x:f>
      </x:c>
      <x:c r="L153" s="66" t="str">
        <x:f>IF(C153="","",MAX(0,F153+G153-K153))</x:f>
      </x:c>
      <x:c r="M153" s="66"/>
      <x:c r="N153" s="66" t="str">
        <x:f>IF(C153="","",F153*(1-0.2))</x:f>
      </x:c>
      <x:c r="O153" s="66" t="str">
        <x:f>IF(C153="","",F153*(1+0.2))</x:f>
      </x:c>
      <x:c r="P153" s="60" t="str">
        <x:f>IF(C153="","",IF(L153=0,"정상",IF(L153&lt;N153,"Flex 미달",IF(L153&gt;O153,"Flex 초과","정상"))))</x:f>
      </x:c>
      <x:c r="Q153" s="66" t="str">
        <x:f>IF(C153="","",IF(L153=0,0,ROUNDUP(L153/M153,0)*M153))</x:f>
      </x:c>
      <x:c r="R153" s="66" t="str">
        <x:f>IF(C153="","",Q153*SUMIF('07_기준정보'!$B$5:$B$204,C153,'07_기준정보'!$F$5:$F$204))</x:f>
      </x:c>
      <x:c r="S153" s="58" t="str">
        <x:v>미검토</x:v>
      </x:c>
    </x:row>
    <x:row r="154">
      <x:c r="A154" s="69" t="str"/>
      <x:c r="B154" s="69" t="str"/>
      <x:c r="C154" s="58" t="str"/>
      <x:c r="D154" s="58" t="str"/>
      <x:c r="E154" s="58" t="str"/>
      <x:c r="F154" s="70"/>
      <x:c r="G154" s="70"/>
      <x:c r="H154" s="70"/>
      <x:c r="I154" s="70"/>
      <x:c r="J154" s="70"/>
      <x:c r="K154" s="66" t="str">
        <x:f>IF(C154="","",MAX(0,H154-I154+J154))</x:f>
      </x:c>
      <x:c r="L154" s="66" t="str">
        <x:f>IF(C154="","",MAX(0,F154+G154-K154))</x:f>
      </x:c>
      <x:c r="M154" s="66"/>
      <x:c r="N154" s="66" t="str">
        <x:f>IF(C154="","",F154*(1-0.2))</x:f>
      </x:c>
      <x:c r="O154" s="66" t="str">
        <x:f>IF(C154="","",F154*(1+0.2))</x:f>
      </x:c>
      <x:c r="P154" s="60" t="str">
        <x:f>IF(C154="","",IF(L154=0,"정상",IF(L154&lt;N154,"Flex 미달",IF(L154&gt;O154,"Flex 초과","정상"))))</x:f>
      </x:c>
      <x:c r="Q154" s="66" t="str">
        <x:f>IF(C154="","",IF(L154=0,0,ROUNDUP(L154/M154,0)*M154))</x:f>
      </x:c>
      <x:c r="R154" s="66" t="str">
        <x:f>IF(C154="","",Q154*SUMIF('07_기준정보'!$B$5:$B$204,C154,'07_기준정보'!$F$5:$F$204))</x:f>
      </x:c>
      <x:c r="S154" s="58" t="str">
        <x:v>미검토</x:v>
      </x:c>
    </x:row>
    <x:row r="155">
      <x:c r="A155" s="69" t="str"/>
      <x:c r="B155" s="69" t="str"/>
      <x:c r="C155" s="58" t="str"/>
      <x:c r="D155" s="58" t="str"/>
      <x:c r="E155" s="58" t="str"/>
      <x:c r="F155" s="70"/>
      <x:c r="G155" s="70"/>
      <x:c r="H155" s="70"/>
      <x:c r="I155" s="70"/>
      <x:c r="J155" s="70"/>
      <x:c r="K155" s="66" t="str">
        <x:f>IF(C155="","",MAX(0,H155-I155+J155))</x:f>
      </x:c>
      <x:c r="L155" s="66" t="str">
        <x:f>IF(C155="","",MAX(0,F155+G155-K155))</x:f>
      </x:c>
      <x:c r="M155" s="66"/>
      <x:c r="N155" s="66" t="str">
        <x:f>IF(C155="","",F155*(1-0.2))</x:f>
      </x:c>
      <x:c r="O155" s="66" t="str">
        <x:f>IF(C155="","",F155*(1+0.2))</x:f>
      </x:c>
      <x:c r="P155" s="60" t="str">
        <x:f>IF(C155="","",IF(L155=0,"정상",IF(L155&lt;N155,"Flex 미달",IF(L155&gt;O155,"Flex 초과","정상"))))</x:f>
      </x:c>
      <x:c r="Q155" s="66" t="str">
        <x:f>IF(C155="","",IF(L155=0,0,ROUNDUP(L155/M155,0)*M155))</x:f>
      </x:c>
      <x:c r="R155" s="66" t="str">
        <x:f>IF(C155="","",Q155*SUMIF('07_기준정보'!$B$5:$B$204,C155,'07_기준정보'!$F$5:$F$204))</x:f>
      </x:c>
      <x:c r="S155" s="58" t="str">
        <x:v>미검토</x:v>
      </x:c>
    </x:row>
    <x:row r="156">
      <x:c r="A156" s="69" t="str"/>
      <x:c r="B156" s="69" t="str"/>
      <x:c r="C156" s="58" t="str"/>
      <x:c r="D156" s="58" t="str"/>
      <x:c r="E156" s="58" t="str"/>
      <x:c r="F156" s="70"/>
      <x:c r="G156" s="70"/>
      <x:c r="H156" s="70"/>
      <x:c r="I156" s="70"/>
      <x:c r="J156" s="70"/>
      <x:c r="K156" s="66" t="str">
        <x:f>IF(C156="","",MAX(0,H156-I156+J156))</x:f>
      </x:c>
      <x:c r="L156" s="66" t="str">
        <x:f>IF(C156="","",MAX(0,F156+G156-K156))</x:f>
      </x:c>
      <x:c r="M156" s="66"/>
      <x:c r="N156" s="66" t="str">
        <x:f>IF(C156="","",F156*(1-0.2))</x:f>
      </x:c>
      <x:c r="O156" s="66" t="str">
        <x:f>IF(C156="","",F156*(1+0.2))</x:f>
      </x:c>
      <x:c r="P156" s="60" t="str">
        <x:f>IF(C156="","",IF(L156=0,"정상",IF(L156&lt;N156,"Flex 미달",IF(L156&gt;O156,"Flex 초과","정상"))))</x:f>
      </x:c>
      <x:c r="Q156" s="66" t="str">
        <x:f>IF(C156="","",IF(L156=0,0,ROUNDUP(L156/M156,0)*M156))</x:f>
      </x:c>
      <x:c r="R156" s="66" t="str">
        <x:f>IF(C156="","",Q156*SUMIF('07_기준정보'!$B$5:$B$204,C156,'07_기준정보'!$F$5:$F$204))</x:f>
      </x:c>
      <x:c r="S156" s="58" t="str">
        <x:v>미검토</x:v>
      </x:c>
    </x:row>
    <x:row r="157">
      <x:c r="A157" s="69" t="str"/>
      <x:c r="B157" s="69" t="str"/>
      <x:c r="C157" s="58" t="str"/>
      <x:c r="D157" s="58" t="str"/>
      <x:c r="E157" s="58" t="str"/>
      <x:c r="F157" s="70"/>
      <x:c r="G157" s="70"/>
      <x:c r="H157" s="70"/>
      <x:c r="I157" s="70"/>
      <x:c r="J157" s="70"/>
      <x:c r="K157" s="66" t="str">
        <x:f>IF(C157="","",MAX(0,H157-I157+J157))</x:f>
      </x:c>
      <x:c r="L157" s="66" t="str">
        <x:f>IF(C157="","",MAX(0,F157+G157-K157))</x:f>
      </x:c>
      <x:c r="M157" s="66"/>
      <x:c r="N157" s="66" t="str">
        <x:f>IF(C157="","",F157*(1-0.2))</x:f>
      </x:c>
      <x:c r="O157" s="66" t="str">
        <x:f>IF(C157="","",F157*(1+0.2))</x:f>
      </x:c>
      <x:c r="P157" s="60" t="str">
        <x:f>IF(C157="","",IF(L157=0,"정상",IF(L157&lt;N157,"Flex 미달",IF(L157&gt;O157,"Flex 초과","정상"))))</x:f>
      </x:c>
      <x:c r="Q157" s="66" t="str">
        <x:f>IF(C157="","",IF(L157=0,0,ROUNDUP(L157/M157,0)*M157))</x:f>
      </x:c>
      <x:c r="R157" s="66" t="str">
        <x:f>IF(C157="","",Q157*SUMIF('07_기준정보'!$B$5:$B$204,C157,'07_기준정보'!$F$5:$F$204))</x:f>
      </x:c>
      <x:c r="S157" s="58" t="str">
        <x:v>미검토</x:v>
      </x:c>
    </x:row>
    <x:row r="158">
      <x:c r="A158" s="69" t="str"/>
      <x:c r="B158" s="69" t="str"/>
      <x:c r="C158" s="58" t="str"/>
      <x:c r="D158" s="58" t="str"/>
      <x:c r="E158" s="58" t="str"/>
      <x:c r="F158" s="70"/>
      <x:c r="G158" s="70"/>
      <x:c r="H158" s="70"/>
      <x:c r="I158" s="70"/>
      <x:c r="J158" s="70"/>
      <x:c r="K158" s="66" t="str">
        <x:f>IF(C158="","",MAX(0,H158-I158+J158))</x:f>
      </x:c>
      <x:c r="L158" s="66" t="str">
        <x:f>IF(C158="","",MAX(0,F158+G158-K158))</x:f>
      </x:c>
      <x:c r="M158" s="66"/>
      <x:c r="N158" s="66" t="str">
        <x:f>IF(C158="","",F158*(1-0.2))</x:f>
      </x:c>
      <x:c r="O158" s="66" t="str">
        <x:f>IF(C158="","",F158*(1+0.2))</x:f>
      </x:c>
      <x:c r="P158" s="60" t="str">
        <x:f>IF(C158="","",IF(L158=0,"정상",IF(L158&lt;N158,"Flex 미달",IF(L158&gt;O158,"Flex 초과","정상"))))</x:f>
      </x:c>
      <x:c r="Q158" s="66" t="str">
        <x:f>IF(C158="","",IF(L158=0,0,ROUNDUP(L158/M158,0)*M158))</x:f>
      </x:c>
      <x:c r="R158" s="66" t="str">
        <x:f>IF(C158="","",Q158*SUMIF('07_기준정보'!$B$5:$B$204,C158,'07_기준정보'!$F$5:$F$204))</x:f>
      </x:c>
      <x:c r="S158" s="58" t="str">
        <x:v>미검토</x:v>
      </x:c>
    </x:row>
    <x:row r="159">
      <x:c r="A159" s="69" t="str"/>
      <x:c r="B159" s="69" t="str"/>
      <x:c r="C159" s="58" t="str"/>
      <x:c r="D159" s="58" t="str"/>
      <x:c r="E159" s="58" t="str"/>
      <x:c r="F159" s="70"/>
      <x:c r="G159" s="70"/>
      <x:c r="H159" s="70"/>
      <x:c r="I159" s="70"/>
      <x:c r="J159" s="70"/>
      <x:c r="K159" s="66" t="str">
        <x:f>IF(C159="","",MAX(0,H159-I159+J159))</x:f>
      </x:c>
      <x:c r="L159" s="66" t="str">
        <x:f>IF(C159="","",MAX(0,F159+G159-K159))</x:f>
      </x:c>
      <x:c r="M159" s="66"/>
      <x:c r="N159" s="66" t="str">
        <x:f>IF(C159="","",F159*(1-0.2))</x:f>
      </x:c>
      <x:c r="O159" s="66" t="str">
        <x:f>IF(C159="","",F159*(1+0.2))</x:f>
      </x:c>
      <x:c r="P159" s="60" t="str">
        <x:f>IF(C159="","",IF(L159=0,"정상",IF(L159&lt;N159,"Flex 미달",IF(L159&gt;O159,"Flex 초과","정상"))))</x:f>
      </x:c>
      <x:c r="Q159" s="66" t="str">
        <x:f>IF(C159="","",IF(L159=0,0,ROUNDUP(L159/M159,0)*M159))</x:f>
      </x:c>
      <x:c r="R159" s="66" t="str">
        <x:f>IF(C159="","",Q159*SUMIF('07_기준정보'!$B$5:$B$204,C159,'07_기준정보'!$F$5:$F$204))</x:f>
      </x:c>
      <x:c r="S159" s="58" t="str">
        <x:v>미검토</x:v>
      </x:c>
    </x:row>
    <x:row r="160">
      <x:c r="A160" s="69" t="str"/>
      <x:c r="B160" s="69" t="str"/>
      <x:c r="C160" s="58" t="str"/>
      <x:c r="D160" s="58" t="str"/>
      <x:c r="E160" s="58" t="str"/>
      <x:c r="F160" s="70"/>
      <x:c r="G160" s="70"/>
      <x:c r="H160" s="70"/>
      <x:c r="I160" s="70"/>
      <x:c r="J160" s="70"/>
      <x:c r="K160" s="66" t="str">
        <x:f>IF(C160="","",MAX(0,H160-I160+J160))</x:f>
      </x:c>
      <x:c r="L160" s="66" t="str">
        <x:f>IF(C160="","",MAX(0,F160+G160-K160))</x:f>
      </x:c>
      <x:c r="M160" s="66"/>
      <x:c r="N160" s="66" t="str">
        <x:f>IF(C160="","",F160*(1-0.2))</x:f>
      </x:c>
      <x:c r="O160" s="66" t="str">
        <x:f>IF(C160="","",F160*(1+0.2))</x:f>
      </x:c>
      <x:c r="P160" s="60" t="str">
        <x:f>IF(C160="","",IF(L160=0,"정상",IF(L160&lt;N160,"Flex 미달",IF(L160&gt;O160,"Flex 초과","정상"))))</x:f>
      </x:c>
      <x:c r="Q160" s="66" t="str">
        <x:f>IF(C160="","",IF(L160=0,0,ROUNDUP(L160/M160,0)*M160))</x:f>
      </x:c>
      <x:c r="R160" s="66" t="str">
        <x:f>IF(C160="","",Q160*SUMIF('07_기준정보'!$B$5:$B$204,C160,'07_기준정보'!$F$5:$F$204))</x:f>
      </x:c>
      <x:c r="S160" s="58" t="str">
        <x:v>미검토</x:v>
      </x:c>
    </x:row>
    <x:row r="161">
      <x:c r="A161" s="69" t="str"/>
      <x:c r="B161" s="69" t="str"/>
      <x:c r="C161" s="58" t="str"/>
      <x:c r="D161" s="58" t="str"/>
      <x:c r="E161" s="58" t="str"/>
      <x:c r="F161" s="70"/>
      <x:c r="G161" s="70"/>
      <x:c r="H161" s="70"/>
      <x:c r="I161" s="70"/>
      <x:c r="J161" s="70"/>
      <x:c r="K161" s="66" t="str">
        <x:f>IF(C161="","",MAX(0,H161-I161+J161))</x:f>
      </x:c>
      <x:c r="L161" s="66" t="str">
        <x:f>IF(C161="","",MAX(0,F161+G161-K161))</x:f>
      </x:c>
      <x:c r="M161" s="66"/>
      <x:c r="N161" s="66" t="str">
        <x:f>IF(C161="","",F161*(1-0.2))</x:f>
      </x:c>
      <x:c r="O161" s="66" t="str">
        <x:f>IF(C161="","",F161*(1+0.2))</x:f>
      </x:c>
      <x:c r="P161" s="60" t="str">
        <x:f>IF(C161="","",IF(L161=0,"정상",IF(L161&lt;N161,"Flex 미달",IF(L161&gt;O161,"Flex 초과","정상"))))</x:f>
      </x:c>
      <x:c r="Q161" s="66" t="str">
        <x:f>IF(C161="","",IF(L161=0,0,ROUNDUP(L161/M161,0)*M161))</x:f>
      </x:c>
      <x:c r="R161" s="66" t="str">
        <x:f>IF(C161="","",Q161*SUMIF('07_기준정보'!$B$5:$B$204,C161,'07_기준정보'!$F$5:$F$204))</x:f>
      </x:c>
      <x:c r="S161" s="58" t="str">
        <x:v>미검토</x:v>
      </x:c>
    </x:row>
    <x:row r="162">
      <x:c r="A162" s="69" t="str"/>
      <x:c r="B162" s="69" t="str"/>
      <x:c r="C162" s="58" t="str"/>
      <x:c r="D162" s="58" t="str"/>
      <x:c r="E162" s="58" t="str"/>
      <x:c r="F162" s="70"/>
      <x:c r="G162" s="70"/>
      <x:c r="H162" s="70"/>
      <x:c r="I162" s="70"/>
      <x:c r="J162" s="70"/>
      <x:c r="K162" s="66" t="str">
        <x:f>IF(C162="","",MAX(0,H162-I162+J162))</x:f>
      </x:c>
      <x:c r="L162" s="66" t="str">
        <x:f>IF(C162="","",MAX(0,F162+G162-K162))</x:f>
      </x:c>
      <x:c r="M162" s="66"/>
      <x:c r="N162" s="66" t="str">
        <x:f>IF(C162="","",F162*(1-0.2))</x:f>
      </x:c>
      <x:c r="O162" s="66" t="str">
        <x:f>IF(C162="","",F162*(1+0.2))</x:f>
      </x:c>
      <x:c r="P162" s="60" t="str">
        <x:f>IF(C162="","",IF(L162=0,"정상",IF(L162&lt;N162,"Flex 미달",IF(L162&gt;O162,"Flex 초과","정상"))))</x:f>
      </x:c>
      <x:c r="Q162" s="66" t="str">
        <x:f>IF(C162="","",IF(L162=0,0,ROUNDUP(L162/M162,0)*M162))</x:f>
      </x:c>
      <x:c r="R162" s="66" t="str">
        <x:f>IF(C162="","",Q162*SUMIF('07_기준정보'!$B$5:$B$204,C162,'07_기준정보'!$F$5:$F$204))</x:f>
      </x:c>
      <x:c r="S162" s="58" t="str">
        <x:v>미검토</x:v>
      </x:c>
    </x:row>
    <x:row r="163">
      <x:c r="A163" s="69" t="str"/>
      <x:c r="B163" s="69" t="str"/>
      <x:c r="C163" s="58" t="str"/>
      <x:c r="D163" s="58" t="str"/>
      <x:c r="E163" s="58" t="str"/>
      <x:c r="F163" s="70"/>
      <x:c r="G163" s="70"/>
      <x:c r="H163" s="70"/>
      <x:c r="I163" s="70"/>
      <x:c r="J163" s="70"/>
      <x:c r="K163" s="66" t="str">
        <x:f>IF(C163="","",MAX(0,H163-I163+J163))</x:f>
      </x:c>
      <x:c r="L163" s="66" t="str">
        <x:f>IF(C163="","",MAX(0,F163+G163-K163))</x:f>
      </x:c>
      <x:c r="M163" s="66"/>
      <x:c r="N163" s="66" t="str">
        <x:f>IF(C163="","",F163*(1-0.2))</x:f>
      </x:c>
      <x:c r="O163" s="66" t="str">
        <x:f>IF(C163="","",F163*(1+0.2))</x:f>
      </x:c>
      <x:c r="P163" s="60" t="str">
        <x:f>IF(C163="","",IF(L163=0,"정상",IF(L163&lt;N163,"Flex 미달",IF(L163&gt;O163,"Flex 초과","정상"))))</x:f>
      </x:c>
      <x:c r="Q163" s="66" t="str">
        <x:f>IF(C163="","",IF(L163=0,0,ROUNDUP(L163/M163,0)*M163))</x:f>
      </x:c>
      <x:c r="R163" s="66" t="str">
        <x:f>IF(C163="","",Q163*SUMIF('07_기준정보'!$B$5:$B$204,C163,'07_기준정보'!$F$5:$F$204))</x:f>
      </x:c>
      <x:c r="S163" s="58" t="str">
        <x:v>미검토</x:v>
      </x:c>
    </x:row>
    <x:row r="164">
      <x:c r="A164" s="69" t="str"/>
      <x:c r="B164" s="69" t="str"/>
      <x:c r="C164" s="58" t="str"/>
      <x:c r="D164" s="58" t="str"/>
      <x:c r="E164" s="58" t="str"/>
      <x:c r="F164" s="70"/>
      <x:c r="G164" s="70"/>
      <x:c r="H164" s="70"/>
      <x:c r="I164" s="70"/>
      <x:c r="J164" s="70"/>
      <x:c r="K164" s="66" t="str">
        <x:f>IF(C164="","",MAX(0,H164-I164+J164))</x:f>
      </x:c>
      <x:c r="L164" s="66" t="str">
        <x:f>IF(C164="","",MAX(0,F164+G164-K164))</x:f>
      </x:c>
      <x:c r="M164" s="66"/>
      <x:c r="N164" s="66" t="str">
        <x:f>IF(C164="","",F164*(1-0.2))</x:f>
      </x:c>
      <x:c r="O164" s="66" t="str">
        <x:f>IF(C164="","",F164*(1+0.2))</x:f>
      </x:c>
      <x:c r="P164" s="60" t="str">
        <x:f>IF(C164="","",IF(L164=0,"정상",IF(L164&lt;N164,"Flex 미달",IF(L164&gt;O164,"Flex 초과","정상"))))</x:f>
      </x:c>
      <x:c r="Q164" s="66" t="str">
        <x:f>IF(C164="","",IF(L164=0,0,ROUNDUP(L164/M164,0)*M164))</x:f>
      </x:c>
      <x:c r="R164" s="66" t="str">
        <x:f>IF(C164="","",Q164*SUMIF('07_기준정보'!$B$5:$B$204,C164,'07_기준정보'!$F$5:$F$204))</x:f>
      </x:c>
      <x:c r="S164" s="58" t="str">
        <x:v>미검토</x:v>
      </x:c>
    </x:row>
    <x:row r="165">
      <x:c r="A165" s="69" t="str"/>
      <x:c r="B165" s="69" t="str"/>
      <x:c r="C165" s="58" t="str"/>
      <x:c r="D165" s="58" t="str"/>
      <x:c r="E165" s="58" t="str"/>
      <x:c r="F165" s="70"/>
      <x:c r="G165" s="70"/>
      <x:c r="H165" s="70"/>
      <x:c r="I165" s="70"/>
      <x:c r="J165" s="70"/>
      <x:c r="K165" s="66" t="str">
        <x:f>IF(C165="","",MAX(0,H165-I165+J165))</x:f>
      </x:c>
      <x:c r="L165" s="66" t="str">
        <x:f>IF(C165="","",MAX(0,F165+G165-K165))</x:f>
      </x:c>
      <x:c r="M165" s="66"/>
      <x:c r="N165" s="66" t="str">
        <x:f>IF(C165="","",F165*(1-0.2))</x:f>
      </x:c>
      <x:c r="O165" s="66" t="str">
        <x:f>IF(C165="","",F165*(1+0.2))</x:f>
      </x:c>
      <x:c r="P165" s="60" t="str">
        <x:f>IF(C165="","",IF(L165=0,"정상",IF(L165&lt;N165,"Flex 미달",IF(L165&gt;O165,"Flex 초과","정상"))))</x:f>
      </x:c>
      <x:c r="Q165" s="66" t="str">
        <x:f>IF(C165="","",IF(L165=0,0,ROUNDUP(L165/M165,0)*M165))</x:f>
      </x:c>
      <x:c r="R165" s="66" t="str">
        <x:f>IF(C165="","",Q165*SUMIF('07_기준정보'!$B$5:$B$204,C165,'07_기준정보'!$F$5:$F$204))</x:f>
      </x:c>
      <x:c r="S165" s="58" t="str">
        <x:v>미검토</x:v>
      </x:c>
    </x:row>
    <x:row r="166">
      <x:c r="A166" s="69" t="str"/>
      <x:c r="B166" s="69" t="str"/>
      <x:c r="C166" s="58" t="str"/>
      <x:c r="D166" s="58" t="str"/>
      <x:c r="E166" s="58" t="str"/>
      <x:c r="F166" s="70"/>
      <x:c r="G166" s="70"/>
      <x:c r="H166" s="70"/>
      <x:c r="I166" s="70"/>
      <x:c r="J166" s="70"/>
      <x:c r="K166" s="66" t="str">
        <x:f>IF(C166="","",MAX(0,H166-I166+J166))</x:f>
      </x:c>
      <x:c r="L166" s="66" t="str">
        <x:f>IF(C166="","",MAX(0,F166+G166-K166))</x:f>
      </x:c>
      <x:c r="M166" s="66"/>
      <x:c r="N166" s="66" t="str">
        <x:f>IF(C166="","",F166*(1-0.2))</x:f>
      </x:c>
      <x:c r="O166" s="66" t="str">
        <x:f>IF(C166="","",F166*(1+0.2))</x:f>
      </x:c>
      <x:c r="P166" s="60" t="str">
        <x:f>IF(C166="","",IF(L166=0,"정상",IF(L166&lt;N166,"Flex 미달",IF(L166&gt;O166,"Flex 초과","정상"))))</x:f>
      </x:c>
      <x:c r="Q166" s="66" t="str">
        <x:f>IF(C166="","",IF(L166=0,0,ROUNDUP(L166/M166,0)*M166))</x:f>
      </x:c>
      <x:c r="R166" s="66" t="str">
        <x:f>IF(C166="","",Q166*SUMIF('07_기준정보'!$B$5:$B$204,C166,'07_기준정보'!$F$5:$F$204))</x:f>
      </x:c>
      <x:c r="S166" s="58" t="str">
        <x:v>미검토</x:v>
      </x:c>
    </x:row>
    <x:row r="167">
      <x:c r="A167" s="69" t="str"/>
      <x:c r="B167" s="69" t="str"/>
      <x:c r="C167" s="58" t="str"/>
      <x:c r="D167" s="58" t="str"/>
      <x:c r="E167" s="58" t="str"/>
      <x:c r="F167" s="70"/>
      <x:c r="G167" s="70"/>
      <x:c r="H167" s="70"/>
      <x:c r="I167" s="70"/>
      <x:c r="J167" s="70"/>
      <x:c r="K167" s="66" t="str">
        <x:f>IF(C167="","",MAX(0,H167-I167+J167))</x:f>
      </x:c>
      <x:c r="L167" s="66" t="str">
        <x:f>IF(C167="","",MAX(0,F167+G167-K167))</x:f>
      </x:c>
      <x:c r="M167" s="66"/>
      <x:c r="N167" s="66" t="str">
        <x:f>IF(C167="","",F167*(1-0.2))</x:f>
      </x:c>
      <x:c r="O167" s="66" t="str">
        <x:f>IF(C167="","",F167*(1+0.2))</x:f>
      </x:c>
      <x:c r="P167" s="60" t="str">
        <x:f>IF(C167="","",IF(L167=0,"정상",IF(L167&lt;N167,"Flex 미달",IF(L167&gt;O167,"Flex 초과","정상"))))</x:f>
      </x:c>
      <x:c r="Q167" s="66" t="str">
        <x:f>IF(C167="","",IF(L167=0,0,ROUNDUP(L167/M167,0)*M167))</x:f>
      </x:c>
      <x:c r="R167" s="66" t="str">
        <x:f>IF(C167="","",Q167*SUMIF('07_기준정보'!$B$5:$B$204,C167,'07_기준정보'!$F$5:$F$204))</x:f>
      </x:c>
      <x:c r="S167" s="58" t="str">
        <x:v>미검토</x:v>
      </x:c>
    </x:row>
    <x:row r="168">
      <x:c r="A168" s="69" t="str"/>
      <x:c r="B168" s="69" t="str"/>
      <x:c r="C168" s="58" t="str"/>
      <x:c r="D168" s="58" t="str"/>
      <x:c r="E168" s="58" t="str"/>
      <x:c r="F168" s="70"/>
      <x:c r="G168" s="70"/>
      <x:c r="H168" s="70"/>
      <x:c r="I168" s="70"/>
      <x:c r="J168" s="70"/>
      <x:c r="K168" s="66" t="str">
        <x:f>IF(C168="","",MAX(0,H168-I168+J168))</x:f>
      </x:c>
      <x:c r="L168" s="66" t="str">
        <x:f>IF(C168="","",MAX(0,F168+G168-K168))</x:f>
      </x:c>
      <x:c r="M168" s="66"/>
      <x:c r="N168" s="66" t="str">
        <x:f>IF(C168="","",F168*(1-0.2))</x:f>
      </x:c>
      <x:c r="O168" s="66" t="str">
        <x:f>IF(C168="","",F168*(1+0.2))</x:f>
      </x:c>
      <x:c r="P168" s="60" t="str">
        <x:f>IF(C168="","",IF(L168=0,"정상",IF(L168&lt;N168,"Flex 미달",IF(L168&gt;O168,"Flex 초과","정상"))))</x:f>
      </x:c>
      <x:c r="Q168" s="66" t="str">
        <x:f>IF(C168="","",IF(L168=0,0,ROUNDUP(L168/M168,0)*M168))</x:f>
      </x:c>
      <x:c r="R168" s="66" t="str">
        <x:f>IF(C168="","",Q168*SUMIF('07_기준정보'!$B$5:$B$204,C168,'07_기준정보'!$F$5:$F$204))</x:f>
      </x:c>
      <x:c r="S168" s="58" t="str">
        <x:v>미검토</x:v>
      </x:c>
    </x:row>
    <x:row r="169">
      <x:c r="A169" s="69" t="str"/>
      <x:c r="B169" s="69" t="str"/>
      <x:c r="C169" s="58" t="str"/>
      <x:c r="D169" s="58" t="str"/>
      <x:c r="E169" s="58" t="str"/>
      <x:c r="F169" s="70"/>
      <x:c r="G169" s="70"/>
      <x:c r="H169" s="70"/>
      <x:c r="I169" s="70"/>
      <x:c r="J169" s="70"/>
      <x:c r="K169" s="66" t="str">
        <x:f>IF(C169="","",MAX(0,H169-I169+J169))</x:f>
      </x:c>
      <x:c r="L169" s="66" t="str">
        <x:f>IF(C169="","",MAX(0,F169+G169-K169))</x:f>
      </x:c>
      <x:c r="M169" s="66"/>
      <x:c r="N169" s="66" t="str">
        <x:f>IF(C169="","",F169*(1-0.2))</x:f>
      </x:c>
      <x:c r="O169" s="66" t="str">
        <x:f>IF(C169="","",F169*(1+0.2))</x:f>
      </x:c>
      <x:c r="P169" s="60" t="str">
        <x:f>IF(C169="","",IF(L169=0,"정상",IF(L169&lt;N169,"Flex 미달",IF(L169&gt;O169,"Flex 초과","정상"))))</x:f>
      </x:c>
      <x:c r="Q169" s="66" t="str">
        <x:f>IF(C169="","",IF(L169=0,0,ROUNDUP(L169/M169,0)*M169))</x:f>
      </x:c>
      <x:c r="R169" s="66" t="str">
        <x:f>IF(C169="","",Q169*SUMIF('07_기준정보'!$B$5:$B$204,C169,'07_기준정보'!$F$5:$F$204))</x:f>
      </x:c>
      <x:c r="S169" s="58" t="str">
        <x:v>미검토</x:v>
      </x:c>
    </x:row>
    <x:row r="170">
      <x:c r="A170" s="69" t="str"/>
      <x:c r="B170" s="69" t="str"/>
      <x:c r="C170" s="58" t="str"/>
      <x:c r="D170" s="58" t="str"/>
      <x:c r="E170" s="58" t="str"/>
      <x:c r="F170" s="70"/>
      <x:c r="G170" s="70"/>
      <x:c r="H170" s="70"/>
      <x:c r="I170" s="70"/>
      <x:c r="J170" s="70"/>
      <x:c r="K170" s="66" t="str">
        <x:f>IF(C170="","",MAX(0,H170-I170+J170))</x:f>
      </x:c>
      <x:c r="L170" s="66" t="str">
        <x:f>IF(C170="","",MAX(0,F170+G170-K170))</x:f>
      </x:c>
      <x:c r="M170" s="66"/>
      <x:c r="N170" s="66" t="str">
        <x:f>IF(C170="","",F170*(1-0.2))</x:f>
      </x:c>
      <x:c r="O170" s="66" t="str">
        <x:f>IF(C170="","",F170*(1+0.2))</x:f>
      </x:c>
      <x:c r="P170" s="60" t="str">
        <x:f>IF(C170="","",IF(L170=0,"정상",IF(L170&lt;N170,"Flex 미달",IF(L170&gt;O170,"Flex 초과","정상"))))</x:f>
      </x:c>
      <x:c r="Q170" s="66" t="str">
        <x:f>IF(C170="","",IF(L170=0,0,ROUNDUP(L170/M170,0)*M170))</x:f>
      </x:c>
      <x:c r="R170" s="66" t="str">
        <x:f>IF(C170="","",Q170*SUMIF('07_기준정보'!$B$5:$B$204,C170,'07_기준정보'!$F$5:$F$204))</x:f>
      </x:c>
      <x:c r="S170" s="58" t="str">
        <x:v>미검토</x:v>
      </x:c>
    </x:row>
    <x:row r="171">
      <x:c r="A171" s="69" t="str"/>
      <x:c r="B171" s="69" t="str"/>
      <x:c r="C171" s="58" t="str"/>
      <x:c r="D171" s="58" t="str"/>
      <x:c r="E171" s="58" t="str"/>
      <x:c r="F171" s="70"/>
      <x:c r="G171" s="70"/>
      <x:c r="H171" s="70"/>
      <x:c r="I171" s="70"/>
      <x:c r="J171" s="70"/>
      <x:c r="K171" s="66" t="str">
        <x:f>IF(C171="","",MAX(0,H171-I171+J171))</x:f>
      </x:c>
      <x:c r="L171" s="66" t="str">
        <x:f>IF(C171="","",MAX(0,F171+G171-K171))</x:f>
      </x:c>
      <x:c r="M171" s="66"/>
      <x:c r="N171" s="66" t="str">
        <x:f>IF(C171="","",F171*(1-0.2))</x:f>
      </x:c>
      <x:c r="O171" s="66" t="str">
        <x:f>IF(C171="","",F171*(1+0.2))</x:f>
      </x:c>
      <x:c r="P171" s="60" t="str">
        <x:f>IF(C171="","",IF(L171=0,"정상",IF(L171&lt;N171,"Flex 미달",IF(L171&gt;O171,"Flex 초과","정상"))))</x:f>
      </x:c>
      <x:c r="Q171" s="66" t="str">
        <x:f>IF(C171="","",IF(L171=0,0,ROUNDUP(L171/M171,0)*M171))</x:f>
      </x:c>
      <x:c r="R171" s="66" t="str">
        <x:f>IF(C171="","",Q171*SUMIF('07_기준정보'!$B$5:$B$204,C171,'07_기준정보'!$F$5:$F$204))</x:f>
      </x:c>
      <x:c r="S171" s="58" t="str">
        <x:v>미검토</x:v>
      </x:c>
    </x:row>
    <x:row r="172">
      <x:c r="A172" s="69" t="str"/>
      <x:c r="B172" s="69" t="str"/>
      <x:c r="C172" s="58" t="str"/>
      <x:c r="D172" s="58" t="str"/>
      <x:c r="E172" s="58" t="str"/>
      <x:c r="F172" s="70"/>
      <x:c r="G172" s="70"/>
      <x:c r="H172" s="70"/>
      <x:c r="I172" s="70"/>
      <x:c r="J172" s="70"/>
      <x:c r="K172" s="66" t="str">
        <x:f>IF(C172="","",MAX(0,H172-I172+J172))</x:f>
      </x:c>
      <x:c r="L172" s="66" t="str">
        <x:f>IF(C172="","",MAX(0,F172+G172-K172))</x:f>
      </x:c>
      <x:c r="M172" s="66"/>
      <x:c r="N172" s="66" t="str">
        <x:f>IF(C172="","",F172*(1-0.2))</x:f>
      </x:c>
      <x:c r="O172" s="66" t="str">
        <x:f>IF(C172="","",F172*(1+0.2))</x:f>
      </x:c>
      <x:c r="P172" s="60" t="str">
        <x:f>IF(C172="","",IF(L172=0,"정상",IF(L172&lt;N172,"Flex 미달",IF(L172&gt;O172,"Flex 초과","정상"))))</x:f>
      </x:c>
      <x:c r="Q172" s="66" t="str">
        <x:f>IF(C172="","",IF(L172=0,0,ROUNDUP(L172/M172,0)*M172))</x:f>
      </x:c>
      <x:c r="R172" s="66" t="str">
        <x:f>IF(C172="","",Q172*SUMIF('07_기준정보'!$B$5:$B$204,C172,'07_기준정보'!$F$5:$F$204))</x:f>
      </x:c>
      <x:c r="S172" s="58" t="str">
        <x:v>미검토</x:v>
      </x:c>
    </x:row>
    <x:row r="173">
      <x:c r="A173" s="69" t="str"/>
      <x:c r="B173" s="69" t="str"/>
      <x:c r="C173" s="58" t="str"/>
      <x:c r="D173" s="58" t="str"/>
      <x:c r="E173" s="58" t="str"/>
      <x:c r="F173" s="70"/>
      <x:c r="G173" s="70"/>
      <x:c r="H173" s="70"/>
      <x:c r="I173" s="70"/>
      <x:c r="J173" s="70"/>
      <x:c r="K173" s="66" t="str">
        <x:f>IF(C173="","",MAX(0,H173-I173+J173))</x:f>
      </x:c>
      <x:c r="L173" s="66" t="str">
        <x:f>IF(C173="","",MAX(0,F173+G173-K173))</x:f>
      </x:c>
      <x:c r="M173" s="66"/>
      <x:c r="N173" s="66" t="str">
        <x:f>IF(C173="","",F173*(1-0.2))</x:f>
      </x:c>
      <x:c r="O173" s="66" t="str">
        <x:f>IF(C173="","",F173*(1+0.2))</x:f>
      </x:c>
      <x:c r="P173" s="60" t="str">
        <x:f>IF(C173="","",IF(L173=0,"정상",IF(L173&lt;N173,"Flex 미달",IF(L173&gt;O173,"Flex 초과","정상"))))</x:f>
      </x:c>
      <x:c r="Q173" s="66" t="str">
        <x:f>IF(C173="","",IF(L173=0,0,ROUNDUP(L173/M173,0)*M173))</x:f>
      </x:c>
      <x:c r="R173" s="66" t="str">
        <x:f>IF(C173="","",Q173*SUMIF('07_기준정보'!$B$5:$B$204,C173,'07_기준정보'!$F$5:$F$204))</x:f>
      </x:c>
      <x:c r="S173" s="58" t="str">
        <x:v>미검토</x:v>
      </x:c>
    </x:row>
    <x:row r="174">
      <x:c r="A174" s="69" t="str"/>
      <x:c r="B174" s="69" t="str"/>
      <x:c r="C174" s="58" t="str"/>
      <x:c r="D174" s="58" t="str"/>
      <x:c r="E174" s="58" t="str"/>
      <x:c r="F174" s="70"/>
      <x:c r="G174" s="70"/>
      <x:c r="H174" s="70"/>
      <x:c r="I174" s="70"/>
      <x:c r="J174" s="70"/>
      <x:c r="K174" s="66" t="str">
        <x:f>IF(C174="","",MAX(0,H174-I174+J174))</x:f>
      </x:c>
      <x:c r="L174" s="66" t="str">
        <x:f>IF(C174="","",MAX(0,F174+G174-K174))</x:f>
      </x:c>
      <x:c r="M174" s="66"/>
      <x:c r="N174" s="66" t="str">
        <x:f>IF(C174="","",F174*(1-0.2))</x:f>
      </x:c>
      <x:c r="O174" s="66" t="str">
        <x:f>IF(C174="","",F174*(1+0.2))</x:f>
      </x:c>
      <x:c r="P174" s="60" t="str">
        <x:f>IF(C174="","",IF(L174=0,"정상",IF(L174&lt;N174,"Flex 미달",IF(L174&gt;O174,"Flex 초과","정상"))))</x:f>
      </x:c>
      <x:c r="Q174" s="66" t="str">
        <x:f>IF(C174="","",IF(L174=0,0,ROUNDUP(L174/M174,0)*M174))</x:f>
      </x:c>
      <x:c r="R174" s="66" t="str">
        <x:f>IF(C174="","",Q174*SUMIF('07_기준정보'!$B$5:$B$204,C174,'07_기준정보'!$F$5:$F$204))</x:f>
      </x:c>
      <x:c r="S174" s="58" t="str">
        <x:v>미검토</x:v>
      </x:c>
    </x:row>
    <x:row r="175">
      <x:c r="A175" s="69" t="str"/>
      <x:c r="B175" s="69" t="str"/>
      <x:c r="C175" s="58" t="str"/>
      <x:c r="D175" s="58" t="str"/>
      <x:c r="E175" s="58" t="str"/>
      <x:c r="F175" s="70"/>
      <x:c r="G175" s="70"/>
      <x:c r="H175" s="70"/>
      <x:c r="I175" s="70"/>
      <x:c r="J175" s="70"/>
      <x:c r="K175" s="66" t="str">
        <x:f>IF(C175="","",MAX(0,H175-I175+J175))</x:f>
      </x:c>
      <x:c r="L175" s="66" t="str">
        <x:f>IF(C175="","",MAX(0,F175+G175-K175))</x:f>
      </x:c>
      <x:c r="M175" s="66"/>
      <x:c r="N175" s="66" t="str">
        <x:f>IF(C175="","",F175*(1-0.2))</x:f>
      </x:c>
      <x:c r="O175" s="66" t="str">
        <x:f>IF(C175="","",F175*(1+0.2))</x:f>
      </x:c>
      <x:c r="P175" s="60" t="str">
        <x:f>IF(C175="","",IF(L175=0,"정상",IF(L175&lt;N175,"Flex 미달",IF(L175&gt;O175,"Flex 초과","정상"))))</x:f>
      </x:c>
      <x:c r="Q175" s="66" t="str">
        <x:f>IF(C175="","",IF(L175=0,0,ROUNDUP(L175/M175,0)*M175))</x:f>
      </x:c>
      <x:c r="R175" s="66" t="str">
        <x:f>IF(C175="","",Q175*SUMIF('07_기준정보'!$B$5:$B$204,C175,'07_기준정보'!$F$5:$F$204))</x:f>
      </x:c>
      <x:c r="S175" s="58" t="str">
        <x:v>미검토</x:v>
      </x:c>
    </x:row>
    <x:row r="176">
      <x:c r="A176" s="69" t="str"/>
      <x:c r="B176" s="69" t="str"/>
      <x:c r="C176" s="58" t="str"/>
      <x:c r="D176" s="58" t="str"/>
      <x:c r="E176" s="58" t="str"/>
      <x:c r="F176" s="70"/>
      <x:c r="G176" s="70"/>
      <x:c r="H176" s="70"/>
      <x:c r="I176" s="70"/>
      <x:c r="J176" s="70"/>
      <x:c r="K176" s="66" t="str">
        <x:f>IF(C176="","",MAX(0,H176-I176+J176))</x:f>
      </x:c>
      <x:c r="L176" s="66" t="str">
        <x:f>IF(C176="","",MAX(0,F176+G176-K176))</x:f>
      </x:c>
      <x:c r="M176" s="66"/>
      <x:c r="N176" s="66" t="str">
        <x:f>IF(C176="","",F176*(1-0.2))</x:f>
      </x:c>
      <x:c r="O176" s="66" t="str">
        <x:f>IF(C176="","",F176*(1+0.2))</x:f>
      </x:c>
      <x:c r="P176" s="60" t="str">
        <x:f>IF(C176="","",IF(L176=0,"정상",IF(L176&lt;N176,"Flex 미달",IF(L176&gt;O176,"Flex 초과","정상"))))</x:f>
      </x:c>
      <x:c r="Q176" s="66" t="str">
        <x:f>IF(C176="","",IF(L176=0,0,ROUNDUP(L176/M176,0)*M176))</x:f>
      </x:c>
      <x:c r="R176" s="66" t="str">
        <x:f>IF(C176="","",Q176*SUMIF('07_기준정보'!$B$5:$B$204,C176,'07_기준정보'!$F$5:$F$204))</x:f>
      </x:c>
      <x:c r="S176" s="58" t="str">
        <x:v>미검토</x:v>
      </x:c>
    </x:row>
    <x:row r="177">
      <x:c r="A177" s="69" t="str"/>
      <x:c r="B177" s="69" t="str"/>
      <x:c r="C177" s="58" t="str"/>
      <x:c r="D177" s="58" t="str"/>
      <x:c r="E177" s="58" t="str"/>
      <x:c r="F177" s="70"/>
      <x:c r="G177" s="70"/>
      <x:c r="H177" s="70"/>
      <x:c r="I177" s="70"/>
      <x:c r="J177" s="70"/>
      <x:c r="K177" s="66" t="str">
        <x:f>IF(C177="","",MAX(0,H177-I177+J177))</x:f>
      </x:c>
      <x:c r="L177" s="66" t="str">
        <x:f>IF(C177="","",MAX(0,F177+G177-K177))</x:f>
      </x:c>
      <x:c r="M177" s="66"/>
      <x:c r="N177" s="66" t="str">
        <x:f>IF(C177="","",F177*(1-0.2))</x:f>
      </x:c>
      <x:c r="O177" s="66" t="str">
        <x:f>IF(C177="","",F177*(1+0.2))</x:f>
      </x:c>
      <x:c r="P177" s="60" t="str">
        <x:f>IF(C177="","",IF(L177=0,"정상",IF(L177&lt;N177,"Flex 미달",IF(L177&gt;O177,"Flex 초과","정상"))))</x:f>
      </x:c>
      <x:c r="Q177" s="66" t="str">
        <x:f>IF(C177="","",IF(L177=0,0,ROUNDUP(L177/M177,0)*M177))</x:f>
      </x:c>
      <x:c r="R177" s="66" t="str">
        <x:f>IF(C177="","",Q177*SUMIF('07_기준정보'!$B$5:$B$204,C177,'07_기준정보'!$F$5:$F$204))</x:f>
      </x:c>
      <x:c r="S177" s="58" t="str">
        <x:v>미검토</x:v>
      </x:c>
    </x:row>
    <x:row r="178">
      <x:c r="A178" s="69" t="str"/>
      <x:c r="B178" s="69" t="str"/>
      <x:c r="C178" s="58" t="str"/>
      <x:c r="D178" s="58" t="str"/>
      <x:c r="E178" s="58" t="str"/>
      <x:c r="F178" s="70"/>
      <x:c r="G178" s="70"/>
      <x:c r="H178" s="70"/>
      <x:c r="I178" s="70"/>
      <x:c r="J178" s="70"/>
      <x:c r="K178" s="66" t="str">
        <x:f>IF(C178="","",MAX(0,H178-I178+J178))</x:f>
      </x:c>
      <x:c r="L178" s="66" t="str">
        <x:f>IF(C178="","",MAX(0,F178+G178-K178))</x:f>
      </x:c>
      <x:c r="M178" s="66"/>
      <x:c r="N178" s="66" t="str">
        <x:f>IF(C178="","",F178*(1-0.2))</x:f>
      </x:c>
      <x:c r="O178" s="66" t="str">
        <x:f>IF(C178="","",F178*(1+0.2))</x:f>
      </x:c>
      <x:c r="P178" s="60" t="str">
        <x:f>IF(C178="","",IF(L178=0,"정상",IF(L178&lt;N178,"Flex 미달",IF(L178&gt;O178,"Flex 초과","정상"))))</x:f>
      </x:c>
      <x:c r="Q178" s="66" t="str">
        <x:f>IF(C178="","",IF(L178=0,0,ROUNDUP(L178/M178,0)*M178))</x:f>
      </x:c>
      <x:c r="R178" s="66" t="str">
        <x:f>IF(C178="","",Q178*SUMIF('07_기준정보'!$B$5:$B$204,C178,'07_기준정보'!$F$5:$F$204))</x:f>
      </x:c>
      <x:c r="S178" s="58" t="str">
        <x:v>미검토</x:v>
      </x:c>
    </x:row>
    <x:row r="179">
      <x:c r="A179" s="69" t="str"/>
      <x:c r="B179" s="69" t="str"/>
      <x:c r="C179" s="58" t="str"/>
      <x:c r="D179" s="58" t="str"/>
      <x:c r="E179" s="58" t="str"/>
      <x:c r="F179" s="70"/>
      <x:c r="G179" s="70"/>
      <x:c r="H179" s="70"/>
      <x:c r="I179" s="70"/>
      <x:c r="J179" s="70"/>
      <x:c r="K179" s="66" t="str">
        <x:f>IF(C179="","",MAX(0,H179-I179+J179))</x:f>
      </x:c>
      <x:c r="L179" s="66" t="str">
        <x:f>IF(C179="","",MAX(0,F179+G179-K179))</x:f>
      </x:c>
      <x:c r="M179" s="66"/>
      <x:c r="N179" s="66" t="str">
        <x:f>IF(C179="","",F179*(1-0.2))</x:f>
      </x:c>
      <x:c r="O179" s="66" t="str">
        <x:f>IF(C179="","",F179*(1+0.2))</x:f>
      </x:c>
      <x:c r="P179" s="60" t="str">
        <x:f>IF(C179="","",IF(L179=0,"정상",IF(L179&lt;N179,"Flex 미달",IF(L179&gt;O179,"Flex 초과","정상"))))</x:f>
      </x:c>
      <x:c r="Q179" s="66" t="str">
        <x:f>IF(C179="","",IF(L179=0,0,ROUNDUP(L179/M179,0)*M179))</x:f>
      </x:c>
      <x:c r="R179" s="66" t="str">
        <x:f>IF(C179="","",Q179*SUMIF('07_기준정보'!$B$5:$B$204,C179,'07_기준정보'!$F$5:$F$204))</x:f>
      </x:c>
      <x:c r="S179" s="58" t="str">
        <x:v>미검토</x:v>
      </x:c>
    </x:row>
    <x:row r="180">
      <x:c r="A180" s="69" t="str"/>
      <x:c r="B180" s="69" t="str"/>
      <x:c r="C180" s="58" t="str"/>
      <x:c r="D180" s="58" t="str"/>
      <x:c r="E180" s="58" t="str"/>
      <x:c r="F180" s="70"/>
      <x:c r="G180" s="70"/>
      <x:c r="H180" s="70"/>
      <x:c r="I180" s="70"/>
      <x:c r="J180" s="70"/>
      <x:c r="K180" s="66" t="str">
        <x:f>IF(C180="","",MAX(0,H180-I180+J180))</x:f>
      </x:c>
      <x:c r="L180" s="66" t="str">
        <x:f>IF(C180="","",MAX(0,F180+G180-K180))</x:f>
      </x:c>
      <x:c r="M180" s="66"/>
      <x:c r="N180" s="66" t="str">
        <x:f>IF(C180="","",F180*(1-0.2))</x:f>
      </x:c>
      <x:c r="O180" s="66" t="str">
        <x:f>IF(C180="","",F180*(1+0.2))</x:f>
      </x:c>
      <x:c r="P180" s="60" t="str">
        <x:f>IF(C180="","",IF(L180=0,"정상",IF(L180&lt;N180,"Flex 미달",IF(L180&gt;O180,"Flex 초과","정상"))))</x:f>
      </x:c>
      <x:c r="Q180" s="66" t="str">
        <x:f>IF(C180="","",IF(L180=0,0,ROUNDUP(L180/M180,0)*M180))</x:f>
      </x:c>
      <x:c r="R180" s="66" t="str">
        <x:f>IF(C180="","",Q180*SUMIF('07_기준정보'!$B$5:$B$204,C180,'07_기준정보'!$F$5:$F$204))</x:f>
      </x:c>
      <x:c r="S180" s="58" t="str">
        <x:v>미검토</x:v>
      </x:c>
    </x:row>
    <x:row r="181">
      <x:c r="A181" s="69" t="str"/>
      <x:c r="B181" s="69" t="str"/>
      <x:c r="C181" s="58" t="str"/>
      <x:c r="D181" s="58" t="str"/>
      <x:c r="E181" s="58" t="str"/>
      <x:c r="F181" s="70"/>
      <x:c r="G181" s="70"/>
      <x:c r="H181" s="70"/>
      <x:c r="I181" s="70"/>
      <x:c r="J181" s="70"/>
      <x:c r="K181" s="66" t="str">
        <x:f>IF(C181="","",MAX(0,H181-I181+J181))</x:f>
      </x:c>
      <x:c r="L181" s="66" t="str">
        <x:f>IF(C181="","",MAX(0,F181+G181-K181))</x:f>
      </x:c>
      <x:c r="M181" s="66"/>
      <x:c r="N181" s="66" t="str">
        <x:f>IF(C181="","",F181*(1-0.2))</x:f>
      </x:c>
      <x:c r="O181" s="66" t="str">
        <x:f>IF(C181="","",F181*(1+0.2))</x:f>
      </x:c>
      <x:c r="P181" s="60" t="str">
        <x:f>IF(C181="","",IF(L181=0,"정상",IF(L181&lt;N181,"Flex 미달",IF(L181&gt;O181,"Flex 초과","정상"))))</x:f>
      </x:c>
      <x:c r="Q181" s="66" t="str">
        <x:f>IF(C181="","",IF(L181=0,0,ROUNDUP(L181/M181,0)*M181))</x:f>
      </x:c>
      <x:c r="R181" s="66" t="str">
        <x:f>IF(C181="","",Q181*SUMIF('07_기준정보'!$B$5:$B$204,C181,'07_기준정보'!$F$5:$F$204))</x:f>
      </x:c>
      <x:c r="S181" s="58" t="str">
        <x:v>미검토</x:v>
      </x:c>
    </x:row>
    <x:row r="182">
      <x:c r="A182" s="69" t="str"/>
      <x:c r="B182" s="69" t="str"/>
      <x:c r="C182" s="58" t="str"/>
      <x:c r="D182" s="58" t="str"/>
      <x:c r="E182" s="58" t="str"/>
      <x:c r="F182" s="70"/>
      <x:c r="G182" s="70"/>
      <x:c r="H182" s="70"/>
      <x:c r="I182" s="70"/>
      <x:c r="J182" s="70"/>
      <x:c r="K182" s="66" t="str">
        <x:f>IF(C182="","",MAX(0,H182-I182+J182))</x:f>
      </x:c>
      <x:c r="L182" s="66" t="str">
        <x:f>IF(C182="","",MAX(0,F182+G182-K182))</x:f>
      </x:c>
      <x:c r="M182" s="66"/>
      <x:c r="N182" s="66" t="str">
        <x:f>IF(C182="","",F182*(1-0.2))</x:f>
      </x:c>
      <x:c r="O182" s="66" t="str">
        <x:f>IF(C182="","",F182*(1+0.2))</x:f>
      </x:c>
      <x:c r="P182" s="60" t="str">
        <x:f>IF(C182="","",IF(L182=0,"정상",IF(L182&lt;N182,"Flex 미달",IF(L182&gt;O182,"Flex 초과","정상"))))</x:f>
      </x:c>
      <x:c r="Q182" s="66" t="str">
        <x:f>IF(C182="","",IF(L182=0,0,ROUNDUP(L182/M182,0)*M182))</x:f>
      </x:c>
      <x:c r="R182" s="66" t="str">
        <x:f>IF(C182="","",Q182*SUMIF('07_기준정보'!$B$5:$B$204,C182,'07_기준정보'!$F$5:$F$204))</x:f>
      </x:c>
      <x:c r="S182" s="58" t="str">
        <x:v>미검토</x:v>
      </x:c>
    </x:row>
    <x:row r="183">
      <x:c r="A183" s="69" t="str"/>
      <x:c r="B183" s="69" t="str"/>
      <x:c r="C183" s="58" t="str"/>
      <x:c r="D183" s="58" t="str"/>
      <x:c r="E183" s="58" t="str"/>
      <x:c r="F183" s="70"/>
      <x:c r="G183" s="70"/>
      <x:c r="H183" s="70"/>
      <x:c r="I183" s="70"/>
      <x:c r="J183" s="70"/>
      <x:c r="K183" s="66" t="str">
        <x:f>IF(C183="","",MAX(0,H183-I183+J183))</x:f>
      </x:c>
      <x:c r="L183" s="66" t="str">
        <x:f>IF(C183="","",MAX(0,F183+G183-K183))</x:f>
      </x:c>
      <x:c r="M183" s="66"/>
      <x:c r="N183" s="66" t="str">
        <x:f>IF(C183="","",F183*(1-0.2))</x:f>
      </x:c>
      <x:c r="O183" s="66" t="str">
        <x:f>IF(C183="","",F183*(1+0.2))</x:f>
      </x:c>
      <x:c r="P183" s="60" t="str">
        <x:f>IF(C183="","",IF(L183=0,"정상",IF(L183&lt;N183,"Flex 미달",IF(L183&gt;O183,"Flex 초과","정상"))))</x:f>
      </x:c>
      <x:c r="Q183" s="66" t="str">
        <x:f>IF(C183="","",IF(L183=0,0,ROUNDUP(L183/M183,0)*M183))</x:f>
      </x:c>
      <x:c r="R183" s="66" t="str">
        <x:f>IF(C183="","",Q183*SUMIF('07_기준정보'!$B$5:$B$204,C183,'07_기준정보'!$F$5:$F$204))</x:f>
      </x:c>
      <x:c r="S183" s="58" t="str">
        <x:v>미검토</x:v>
      </x:c>
    </x:row>
    <x:row r="184">
      <x:c r="A184" s="69" t="str"/>
      <x:c r="B184" s="69" t="str"/>
      <x:c r="C184" s="58" t="str"/>
      <x:c r="D184" s="58" t="str"/>
      <x:c r="E184" s="58" t="str"/>
      <x:c r="F184" s="70"/>
      <x:c r="G184" s="70"/>
      <x:c r="H184" s="70"/>
      <x:c r="I184" s="70"/>
      <x:c r="J184" s="70"/>
      <x:c r="K184" s="66" t="str">
        <x:f>IF(C184="","",MAX(0,H184-I184+J184))</x:f>
      </x:c>
      <x:c r="L184" s="66" t="str">
        <x:f>IF(C184="","",MAX(0,F184+G184-K184))</x:f>
      </x:c>
      <x:c r="M184" s="66"/>
      <x:c r="N184" s="66" t="str">
        <x:f>IF(C184="","",F184*(1-0.2))</x:f>
      </x:c>
      <x:c r="O184" s="66" t="str">
        <x:f>IF(C184="","",F184*(1+0.2))</x:f>
      </x:c>
      <x:c r="P184" s="60" t="str">
        <x:f>IF(C184="","",IF(L184=0,"정상",IF(L184&lt;N184,"Flex 미달",IF(L184&gt;O184,"Flex 초과","정상"))))</x:f>
      </x:c>
      <x:c r="Q184" s="66" t="str">
        <x:f>IF(C184="","",IF(L184=0,0,ROUNDUP(L184/M184,0)*M184))</x:f>
      </x:c>
      <x:c r="R184" s="66" t="str">
        <x:f>IF(C184="","",Q184*SUMIF('07_기준정보'!$B$5:$B$204,C184,'07_기준정보'!$F$5:$F$204))</x:f>
      </x:c>
      <x:c r="S184" s="58" t="str">
        <x:v>미검토</x:v>
      </x:c>
    </x:row>
    <x:row r="185">
      <x:c r="A185" s="69" t="str"/>
      <x:c r="B185" s="69" t="str"/>
      <x:c r="C185" s="58" t="str"/>
      <x:c r="D185" s="58" t="str"/>
      <x:c r="E185" s="58" t="str"/>
      <x:c r="F185" s="70"/>
      <x:c r="G185" s="70"/>
      <x:c r="H185" s="70"/>
      <x:c r="I185" s="70"/>
      <x:c r="J185" s="70"/>
      <x:c r="K185" s="66" t="str">
        <x:f>IF(C185="","",MAX(0,H185-I185+J185))</x:f>
      </x:c>
      <x:c r="L185" s="66" t="str">
        <x:f>IF(C185="","",MAX(0,F185+G185-K185))</x:f>
      </x:c>
      <x:c r="M185" s="66"/>
      <x:c r="N185" s="66" t="str">
        <x:f>IF(C185="","",F185*(1-0.2))</x:f>
      </x:c>
      <x:c r="O185" s="66" t="str">
        <x:f>IF(C185="","",F185*(1+0.2))</x:f>
      </x:c>
      <x:c r="P185" s="60" t="str">
        <x:f>IF(C185="","",IF(L185=0,"정상",IF(L185&lt;N185,"Flex 미달",IF(L185&gt;O185,"Flex 초과","정상"))))</x:f>
      </x:c>
      <x:c r="Q185" s="66" t="str">
        <x:f>IF(C185="","",IF(L185=0,0,ROUNDUP(L185/M185,0)*M185))</x:f>
      </x:c>
      <x:c r="R185" s="66" t="str">
        <x:f>IF(C185="","",Q185*SUMIF('07_기준정보'!$B$5:$B$204,C185,'07_기준정보'!$F$5:$F$204))</x:f>
      </x:c>
      <x:c r="S185" s="58" t="str">
        <x:v>미검토</x:v>
      </x:c>
    </x:row>
    <x:row r="186">
      <x:c r="A186" s="69" t="str"/>
      <x:c r="B186" s="69" t="str"/>
      <x:c r="C186" s="58" t="str"/>
      <x:c r="D186" s="58" t="str"/>
      <x:c r="E186" s="58" t="str"/>
      <x:c r="F186" s="70"/>
      <x:c r="G186" s="70"/>
      <x:c r="H186" s="70"/>
      <x:c r="I186" s="70"/>
      <x:c r="J186" s="70"/>
      <x:c r="K186" s="66" t="str">
        <x:f>IF(C186="","",MAX(0,H186-I186+J186))</x:f>
      </x:c>
      <x:c r="L186" s="66" t="str">
        <x:f>IF(C186="","",MAX(0,F186+G186-K186))</x:f>
      </x:c>
      <x:c r="M186" s="66"/>
      <x:c r="N186" s="66" t="str">
        <x:f>IF(C186="","",F186*(1-0.2))</x:f>
      </x:c>
      <x:c r="O186" s="66" t="str">
        <x:f>IF(C186="","",F186*(1+0.2))</x:f>
      </x:c>
      <x:c r="P186" s="60" t="str">
        <x:f>IF(C186="","",IF(L186=0,"정상",IF(L186&lt;N186,"Flex 미달",IF(L186&gt;O186,"Flex 초과","정상"))))</x:f>
      </x:c>
      <x:c r="Q186" s="66" t="str">
        <x:f>IF(C186="","",IF(L186=0,0,ROUNDUP(L186/M186,0)*M186))</x:f>
      </x:c>
      <x:c r="R186" s="66" t="str">
        <x:f>IF(C186="","",Q186*SUMIF('07_기준정보'!$B$5:$B$204,C186,'07_기준정보'!$F$5:$F$204))</x:f>
      </x:c>
      <x:c r="S186" s="58" t="str">
        <x:v>미검토</x:v>
      </x:c>
    </x:row>
    <x:row r="187">
      <x:c r="A187" s="69" t="str"/>
      <x:c r="B187" s="69" t="str"/>
      <x:c r="C187" s="58" t="str"/>
      <x:c r="D187" s="58" t="str"/>
      <x:c r="E187" s="58" t="str"/>
      <x:c r="F187" s="70"/>
      <x:c r="G187" s="70"/>
      <x:c r="H187" s="70"/>
      <x:c r="I187" s="70"/>
      <x:c r="J187" s="70"/>
      <x:c r="K187" s="66" t="str">
        <x:f>IF(C187="","",MAX(0,H187-I187+J187))</x:f>
      </x:c>
      <x:c r="L187" s="66" t="str">
        <x:f>IF(C187="","",MAX(0,F187+G187-K187))</x:f>
      </x:c>
      <x:c r="M187" s="66"/>
      <x:c r="N187" s="66" t="str">
        <x:f>IF(C187="","",F187*(1-0.2))</x:f>
      </x:c>
      <x:c r="O187" s="66" t="str">
        <x:f>IF(C187="","",F187*(1+0.2))</x:f>
      </x:c>
      <x:c r="P187" s="60" t="str">
        <x:f>IF(C187="","",IF(L187=0,"정상",IF(L187&lt;N187,"Flex 미달",IF(L187&gt;O187,"Flex 초과","정상"))))</x:f>
      </x:c>
      <x:c r="Q187" s="66" t="str">
        <x:f>IF(C187="","",IF(L187=0,0,ROUNDUP(L187/M187,0)*M187))</x:f>
      </x:c>
      <x:c r="R187" s="66" t="str">
        <x:f>IF(C187="","",Q187*SUMIF('07_기준정보'!$B$5:$B$204,C187,'07_기준정보'!$F$5:$F$204))</x:f>
      </x:c>
      <x:c r="S187" s="58" t="str">
        <x:v>미검토</x:v>
      </x:c>
    </x:row>
    <x:row r="188">
      <x:c r="A188" s="69" t="str"/>
      <x:c r="B188" s="69" t="str"/>
      <x:c r="C188" s="58" t="str"/>
      <x:c r="D188" s="58" t="str"/>
      <x:c r="E188" s="58" t="str"/>
      <x:c r="F188" s="70"/>
      <x:c r="G188" s="70"/>
      <x:c r="H188" s="70"/>
      <x:c r="I188" s="70"/>
      <x:c r="J188" s="70"/>
      <x:c r="K188" s="66" t="str">
        <x:f>IF(C188="","",MAX(0,H188-I188+J188))</x:f>
      </x:c>
      <x:c r="L188" s="66" t="str">
        <x:f>IF(C188="","",MAX(0,F188+G188-K188))</x:f>
      </x:c>
      <x:c r="M188" s="66"/>
      <x:c r="N188" s="66" t="str">
        <x:f>IF(C188="","",F188*(1-0.2))</x:f>
      </x:c>
      <x:c r="O188" s="66" t="str">
        <x:f>IF(C188="","",F188*(1+0.2))</x:f>
      </x:c>
      <x:c r="P188" s="60" t="str">
        <x:f>IF(C188="","",IF(L188=0,"정상",IF(L188&lt;N188,"Flex 미달",IF(L188&gt;O188,"Flex 초과","정상"))))</x:f>
      </x:c>
      <x:c r="Q188" s="66" t="str">
        <x:f>IF(C188="","",IF(L188=0,0,ROUNDUP(L188/M188,0)*M188))</x:f>
      </x:c>
      <x:c r="R188" s="66" t="str">
        <x:f>IF(C188="","",Q188*SUMIF('07_기준정보'!$B$5:$B$204,C188,'07_기준정보'!$F$5:$F$204))</x:f>
      </x:c>
      <x:c r="S188" s="58" t="str">
        <x:v>미검토</x:v>
      </x:c>
    </x:row>
    <x:row r="189">
      <x:c r="A189" s="69" t="str"/>
      <x:c r="B189" s="69" t="str"/>
      <x:c r="C189" s="58" t="str"/>
      <x:c r="D189" s="58" t="str"/>
      <x:c r="E189" s="58" t="str"/>
      <x:c r="F189" s="70"/>
      <x:c r="G189" s="70"/>
      <x:c r="H189" s="70"/>
      <x:c r="I189" s="70"/>
      <x:c r="J189" s="70"/>
      <x:c r="K189" s="66" t="str">
        <x:f>IF(C189="","",MAX(0,H189-I189+J189))</x:f>
      </x:c>
      <x:c r="L189" s="66" t="str">
        <x:f>IF(C189="","",MAX(0,F189+G189-K189))</x:f>
      </x:c>
      <x:c r="M189" s="66"/>
      <x:c r="N189" s="66" t="str">
        <x:f>IF(C189="","",F189*(1-0.2))</x:f>
      </x:c>
      <x:c r="O189" s="66" t="str">
        <x:f>IF(C189="","",F189*(1+0.2))</x:f>
      </x:c>
      <x:c r="P189" s="60" t="str">
        <x:f>IF(C189="","",IF(L189=0,"정상",IF(L189&lt;N189,"Flex 미달",IF(L189&gt;O189,"Flex 초과","정상"))))</x:f>
      </x:c>
      <x:c r="Q189" s="66" t="str">
        <x:f>IF(C189="","",IF(L189=0,0,ROUNDUP(L189/M189,0)*M189))</x:f>
      </x:c>
      <x:c r="R189" s="66" t="str">
        <x:f>IF(C189="","",Q189*SUMIF('07_기준정보'!$B$5:$B$204,C189,'07_기준정보'!$F$5:$F$204))</x:f>
      </x:c>
      <x:c r="S189" s="58" t="str">
        <x:v>미검토</x:v>
      </x:c>
    </x:row>
    <x:row r="190">
      <x:c r="A190" s="69" t="str"/>
      <x:c r="B190" s="69" t="str"/>
      <x:c r="C190" s="58" t="str"/>
      <x:c r="D190" s="58" t="str"/>
      <x:c r="E190" s="58" t="str"/>
      <x:c r="F190" s="70"/>
      <x:c r="G190" s="70"/>
      <x:c r="H190" s="70"/>
      <x:c r="I190" s="70"/>
      <x:c r="J190" s="70"/>
      <x:c r="K190" s="66" t="str">
        <x:f>IF(C190="","",MAX(0,H190-I190+J190))</x:f>
      </x:c>
      <x:c r="L190" s="66" t="str">
        <x:f>IF(C190="","",MAX(0,F190+G190-K190))</x:f>
      </x:c>
      <x:c r="M190" s="66"/>
      <x:c r="N190" s="66" t="str">
        <x:f>IF(C190="","",F190*(1-0.2))</x:f>
      </x:c>
      <x:c r="O190" s="66" t="str">
        <x:f>IF(C190="","",F190*(1+0.2))</x:f>
      </x:c>
      <x:c r="P190" s="60" t="str">
        <x:f>IF(C190="","",IF(L190=0,"정상",IF(L190&lt;N190,"Flex 미달",IF(L190&gt;O190,"Flex 초과","정상"))))</x:f>
      </x:c>
      <x:c r="Q190" s="66" t="str">
        <x:f>IF(C190="","",IF(L190=0,0,ROUNDUP(L190/M190,0)*M190))</x:f>
      </x:c>
      <x:c r="R190" s="66" t="str">
        <x:f>IF(C190="","",Q190*SUMIF('07_기준정보'!$B$5:$B$204,C190,'07_기준정보'!$F$5:$F$204))</x:f>
      </x:c>
      <x:c r="S190" s="58" t="str">
        <x:v>미검토</x:v>
      </x:c>
    </x:row>
    <x:row r="191">
      <x:c r="A191" s="69" t="str"/>
      <x:c r="B191" s="69" t="str"/>
      <x:c r="C191" s="58" t="str"/>
      <x:c r="D191" s="58" t="str"/>
      <x:c r="E191" s="58" t="str"/>
      <x:c r="F191" s="70"/>
      <x:c r="G191" s="70"/>
      <x:c r="H191" s="70"/>
      <x:c r="I191" s="70"/>
      <x:c r="J191" s="70"/>
      <x:c r="K191" s="66" t="str">
        <x:f>IF(C191="","",MAX(0,H191-I191+J191))</x:f>
      </x:c>
      <x:c r="L191" s="66" t="str">
        <x:f>IF(C191="","",MAX(0,F191+G191-K191))</x:f>
      </x:c>
      <x:c r="M191" s="66"/>
      <x:c r="N191" s="66" t="str">
        <x:f>IF(C191="","",F191*(1-0.2))</x:f>
      </x:c>
      <x:c r="O191" s="66" t="str">
        <x:f>IF(C191="","",F191*(1+0.2))</x:f>
      </x:c>
      <x:c r="P191" s="60" t="str">
        <x:f>IF(C191="","",IF(L191=0,"정상",IF(L191&lt;N191,"Flex 미달",IF(L191&gt;O191,"Flex 초과","정상"))))</x:f>
      </x:c>
      <x:c r="Q191" s="66" t="str">
        <x:f>IF(C191="","",IF(L191=0,0,ROUNDUP(L191/M191,0)*M191))</x:f>
      </x:c>
      <x:c r="R191" s="66" t="str">
        <x:f>IF(C191="","",Q191*SUMIF('07_기준정보'!$B$5:$B$204,C191,'07_기준정보'!$F$5:$F$204))</x:f>
      </x:c>
      <x:c r="S191" s="58" t="str">
        <x:v>미검토</x:v>
      </x:c>
    </x:row>
    <x:row r="192">
      <x:c r="A192" s="69" t="str"/>
      <x:c r="B192" s="69" t="str"/>
      <x:c r="C192" s="58" t="str"/>
      <x:c r="D192" s="58" t="str"/>
      <x:c r="E192" s="58" t="str"/>
      <x:c r="F192" s="70"/>
      <x:c r="G192" s="70"/>
      <x:c r="H192" s="70"/>
      <x:c r="I192" s="70"/>
      <x:c r="J192" s="70"/>
      <x:c r="K192" s="66" t="str">
        <x:f>IF(C192="","",MAX(0,H192-I192+J192))</x:f>
      </x:c>
      <x:c r="L192" s="66" t="str">
        <x:f>IF(C192="","",MAX(0,F192+G192-K192))</x:f>
      </x:c>
      <x:c r="M192" s="66"/>
      <x:c r="N192" s="66" t="str">
        <x:f>IF(C192="","",F192*(1-0.2))</x:f>
      </x:c>
      <x:c r="O192" s="66" t="str">
        <x:f>IF(C192="","",F192*(1+0.2))</x:f>
      </x:c>
      <x:c r="P192" s="60" t="str">
        <x:f>IF(C192="","",IF(L192=0,"정상",IF(L192&lt;N192,"Flex 미달",IF(L192&gt;O192,"Flex 초과","정상"))))</x:f>
      </x:c>
      <x:c r="Q192" s="66" t="str">
        <x:f>IF(C192="","",IF(L192=0,0,ROUNDUP(L192/M192,0)*M192))</x:f>
      </x:c>
      <x:c r="R192" s="66" t="str">
        <x:f>IF(C192="","",Q192*SUMIF('07_기준정보'!$B$5:$B$204,C192,'07_기준정보'!$F$5:$F$204))</x:f>
      </x:c>
      <x:c r="S192" s="58" t="str">
        <x:v>미검토</x:v>
      </x:c>
    </x:row>
    <x:row r="193">
      <x:c r="A193" s="69" t="str"/>
      <x:c r="B193" s="69" t="str"/>
      <x:c r="C193" s="58" t="str"/>
      <x:c r="D193" s="58" t="str"/>
      <x:c r="E193" s="58" t="str"/>
      <x:c r="F193" s="70"/>
      <x:c r="G193" s="70"/>
      <x:c r="H193" s="70"/>
      <x:c r="I193" s="70"/>
      <x:c r="J193" s="70"/>
      <x:c r="K193" s="66" t="str">
        <x:f>IF(C193="","",MAX(0,H193-I193+J193))</x:f>
      </x:c>
      <x:c r="L193" s="66" t="str">
        <x:f>IF(C193="","",MAX(0,F193+G193-K193))</x:f>
      </x:c>
      <x:c r="M193" s="66"/>
      <x:c r="N193" s="66" t="str">
        <x:f>IF(C193="","",F193*(1-0.2))</x:f>
      </x:c>
      <x:c r="O193" s="66" t="str">
        <x:f>IF(C193="","",F193*(1+0.2))</x:f>
      </x:c>
      <x:c r="P193" s="60" t="str">
        <x:f>IF(C193="","",IF(L193=0,"정상",IF(L193&lt;N193,"Flex 미달",IF(L193&gt;O193,"Flex 초과","정상"))))</x:f>
      </x:c>
      <x:c r="Q193" s="66" t="str">
        <x:f>IF(C193="","",IF(L193=0,0,ROUNDUP(L193/M193,0)*M193))</x:f>
      </x:c>
      <x:c r="R193" s="66" t="str">
        <x:f>IF(C193="","",Q193*SUMIF('07_기준정보'!$B$5:$B$204,C193,'07_기준정보'!$F$5:$F$204))</x:f>
      </x:c>
      <x:c r="S193" s="58" t="str">
        <x:v>미검토</x:v>
      </x:c>
    </x:row>
    <x:row r="194">
      <x:c r="A194" s="69" t="str"/>
      <x:c r="B194" s="69" t="str"/>
      <x:c r="C194" s="58" t="str"/>
      <x:c r="D194" s="58" t="str"/>
      <x:c r="E194" s="58" t="str"/>
      <x:c r="F194" s="70"/>
      <x:c r="G194" s="70"/>
      <x:c r="H194" s="70"/>
      <x:c r="I194" s="70"/>
      <x:c r="J194" s="70"/>
      <x:c r="K194" s="66" t="str">
        <x:f>IF(C194="","",MAX(0,H194-I194+J194))</x:f>
      </x:c>
      <x:c r="L194" s="66" t="str">
        <x:f>IF(C194="","",MAX(0,F194+G194-K194))</x:f>
      </x:c>
      <x:c r="M194" s="66"/>
      <x:c r="N194" s="66" t="str">
        <x:f>IF(C194="","",F194*(1-0.2))</x:f>
      </x:c>
      <x:c r="O194" s="66" t="str">
        <x:f>IF(C194="","",F194*(1+0.2))</x:f>
      </x:c>
      <x:c r="P194" s="60" t="str">
        <x:f>IF(C194="","",IF(L194=0,"정상",IF(L194&lt;N194,"Flex 미달",IF(L194&gt;O194,"Flex 초과","정상"))))</x:f>
      </x:c>
      <x:c r="Q194" s="66" t="str">
        <x:f>IF(C194="","",IF(L194=0,0,ROUNDUP(L194/M194,0)*M194))</x:f>
      </x:c>
      <x:c r="R194" s="66" t="str">
        <x:f>IF(C194="","",Q194*SUMIF('07_기준정보'!$B$5:$B$204,C194,'07_기준정보'!$F$5:$F$204))</x:f>
      </x:c>
      <x:c r="S194" s="58" t="str">
        <x:v>미검토</x:v>
      </x:c>
    </x:row>
    <x:row r="195">
      <x:c r="A195" s="69" t="str"/>
      <x:c r="B195" s="69" t="str"/>
      <x:c r="C195" s="58" t="str"/>
      <x:c r="D195" s="58" t="str"/>
      <x:c r="E195" s="58" t="str"/>
      <x:c r="F195" s="70"/>
      <x:c r="G195" s="70"/>
      <x:c r="H195" s="70"/>
      <x:c r="I195" s="70"/>
      <x:c r="J195" s="70"/>
      <x:c r="K195" s="66" t="str">
        <x:f>IF(C195="","",MAX(0,H195-I195+J195))</x:f>
      </x:c>
      <x:c r="L195" s="66" t="str">
        <x:f>IF(C195="","",MAX(0,F195+G195-K195))</x:f>
      </x:c>
      <x:c r="M195" s="66"/>
      <x:c r="N195" s="66" t="str">
        <x:f>IF(C195="","",F195*(1-0.2))</x:f>
      </x:c>
      <x:c r="O195" s="66" t="str">
        <x:f>IF(C195="","",F195*(1+0.2))</x:f>
      </x:c>
      <x:c r="P195" s="60" t="str">
        <x:f>IF(C195="","",IF(L195=0,"정상",IF(L195&lt;N195,"Flex 미달",IF(L195&gt;O195,"Flex 초과","정상"))))</x:f>
      </x:c>
      <x:c r="Q195" s="66" t="str">
        <x:f>IF(C195="","",IF(L195=0,0,ROUNDUP(L195/M195,0)*M195))</x:f>
      </x:c>
      <x:c r="R195" s="66" t="str">
        <x:f>IF(C195="","",Q195*SUMIF('07_기준정보'!$B$5:$B$204,C195,'07_기준정보'!$F$5:$F$204))</x:f>
      </x:c>
      <x:c r="S195" s="58" t="str">
        <x:v>미검토</x:v>
      </x:c>
    </x:row>
    <x:row r="196">
      <x:c r="A196" s="69" t="str"/>
      <x:c r="B196" s="69" t="str"/>
      <x:c r="C196" s="58" t="str"/>
      <x:c r="D196" s="58" t="str"/>
      <x:c r="E196" s="58" t="str"/>
      <x:c r="F196" s="70"/>
      <x:c r="G196" s="70"/>
      <x:c r="H196" s="70"/>
      <x:c r="I196" s="70"/>
      <x:c r="J196" s="70"/>
      <x:c r="K196" s="66" t="str">
        <x:f>IF(C196="","",MAX(0,H196-I196+J196))</x:f>
      </x:c>
      <x:c r="L196" s="66" t="str">
        <x:f>IF(C196="","",MAX(0,F196+G196-K196))</x:f>
      </x:c>
      <x:c r="M196" s="66"/>
      <x:c r="N196" s="66" t="str">
        <x:f>IF(C196="","",F196*(1-0.2))</x:f>
      </x:c>
      <x:c r="O196" s="66" t="str">
        <x:f>IF(C196="","",F196*(1+0.2))</x:f>
      </x:c>
      <x:c r="P196" s="60" t="str">
        <x:f>IF(C196="","",IF(L196=0,"정상",IF(L196&lt;N196,"Flex 미달",IF(L196&gt;O196,"Flex 초과","정상"))))</x:f>
      </x:c>
      <x:c r="Q196" s="66" t="str">
        <x:f>IF(C196="","",IF(L196=0,0,ROUNDUP(L196/M196,0)*M196))</x:f>
      </x:c>
      <x:c r="R196" s="66" t="str">
        <x:f>IF(C196="","",Q196*SUMIF('07_기준정보'!$B$5:$B$204,C196,'07_기준정보'!$F$5:$F$204))</x:f>
      </x:c>
      <x:c r="S196" s="58" t="str">
        <x:v>미검토</x:v>
      </x:c>
    </x:row>
    <x:row r="197">
      <x:c r="A197" s="69" t="str"/>
      <x:c r="B197" s="69" t="str"/>
      <x:c r="C197" s="58" t="str"/>
      <x:c r="D197" s="58" t="str"/>
      <x:c r="E197" s="58" t="str"/>
      <x:c r="F197" s="70"/>
      <x:c r="G197" s="70"/>
      <x:c r="H197" s="70"/>
      <x:c r="I197" s="70"/>
      <x:c r="J197" s="70"/>
      <x:c r="K197" s="66" t="str">
        <x:f>IF(C197="","",MAX(0,H197-I197+J197))</x:f>
      </x:c>
      <x:c r="L197" s="66" t="str">
        <x:f>IF(C197="","",MAX(0,F197+G197-K197))</x:f>
      </x:c>
      <x:c r="M197" s="66"/>
      <x:c r="N197" s="66" t="str">
        <x:f>IF(C197="","",F197*(1-0.2))</x:f>
      </x:c>
      <x:c r="O197" s="66" t="str">
        <x:f>IF(C197="","",F197*(1+0.2))</x:f>
      </x:c>
      <x:c r="P197" s="60" t="str">
        <x:f>IF(C197="","",IF(L197=0,"정상",IF(L197&lt;N197,"Flex 미달",IF(L197&gt;O197,"Flex 초과","정상"))))</x:f>
      </x:c>
      <x:c r="Q197" s="66" t="str">
        <x:f>IF(C197="","",IF(L197=0,0,ROUNDUP(L197/M197,0)*M197))</x:f>
      </x:c>
      <x:c r="R197" s="66" t="str">
        <x:f>IF(C197="","",Q197*SUMIF('07_기준정보'!$B$5:$B$204,C197,'07_기준정보'!$F$5:$F$204))</x:f>
      </x:c>
      <x:c r="S197" s="58" t="str">
        <x:v>미검토</x:v>
      </x:c>
    </x:row>
    <x:row r="198">
      <x:c r="A198" s="69" t="str"/>
      <x:c r="B198" s="69" t="str"/>
      <x:c r="C198" s="58" t="str"/>
      <x:c r="D198" s="58" t="str"/>
      <x:c r="E198" s="58" t="str"/>
      <x:c r="F198" s="70"/>
      <x:c r="G198" s="70"/>
      <x:c r="H198" s="70"/>
      <x:c r="I198" s="70"/>
      <x:c r="J198" s="70"/>
      <x:c r="K198" s="66" t="str">
        <x:f>IF(C198="","",MAX(0,H198-I198+J198))</x:f>
      </x:c>
      <x:c r="L198" s="66" t="str">
        <x:f>IF(C198="","",MAX(0,F198+G198-K198))</x:f>
      </x:c>
      <x:c r="M198" s="66"/>
      <x:c r="N198" s="66" t="str">
        <x:f>IF(C198="","",F198*(1-0.2))</x:f>
      </x:c>
      <x:c r="O198" s="66" t="str">
        <x:f>IF(C198="","",F198*(1+0.2))</x:f>
      </x:c>
      <x:c r="P198" s="60" t="str">
        <x:f>IF(C198="","",IF(L198=0,"정상",IF(L198&lt;N198,"Flex 미달",IF(L198&gt;O198,"Flex 초과","정상"))))</x:f>
      </x:c>
      <x:c r="Q198" s="66" t="str">
        <x:f>IF(C198="","",IF(L198=0,0,ROUNDUP(L198/M198,0)*M198))</x:f>
      </x:c>
      <x:c r="R198" s="66" t="str">
        <x:f>IF(C198="","",Q198*SUMIF('07_기준정보'!$B$5:$B$204,C198,'07_기준정보'!$F$5:$F$204))</x:f>
      </x:c>
      <x:c r="S198" s="58" t="str">
        <x:v>미검토</x:v>
      </x:c>
    </x:row>
    <x:row r="199">
      <x:c r="A199" s="69" t="str"/>
      <x:c r="B199" s="69" t="str"/>
      <x:c r="C199" s="58" t="str"/>
      <x:c r="D199" s="58" t="str"/>
      <x:c r="E199" s="58" t="str"/>
      <x:c r="F199" s="70"/>
      <x:c r="G199" s="70"/>
      <x:c r="H199" s="70"/>
      <x:c r="I199" s="70"/>
      <x:c r="J199" s="70"/>
      <x:c r="K199" s="66" t="str">
        <x:f>IF(C199="","",MAX(0,H199-I199+J199))</x:f>
      </x:c>
      <x:c r="L199" s="66" t="str">
        <x:f>IF(C199="","",MAX(0,F199+G199-K199))</x:f>
      </x:c>
      <x:c r="M199" s="66"/>
      <x:c r="N199" s="66" t="str">
        <x:f>IF(C199="","",F199*(1-0.2))</x:f>
      </x:c>
      <x:c r="O199" s="66" t="str">
        <x:f>IF(C199="","",F199*(1+0.2))</x:f>
      </x:c>
      <x:c r="P199" s="60" t="str">
        <x:f>IF(C199="","",IF(L199=0,"정상",IF(L199&lt;N199,"Flex 미달",IF(L199&gt;O199,"Flex 초과","정상"))))</x:f>
      </x:c>
      <x:c r="Q199" s="66" t="str">
        <x:f>IF(C199="","",IF(L199=0,0,ROUNDUP(L199/M199,0)*M199))</x:f>
      </x:c>
      <x:c r="R199" s="66" t="str">
        <x:f>IF(C199="","",Q199*SUMIF('07_기준정보'!$B$5:$B$204,C199,'07_기준정보'!$F$5:$F$204))</x:f>
      </x:c>
      <x:c r="S199" s="58" t="str">
        <x:v>미검토</x:v>
      </x:c>
    </x:row>
    <x:row r="200">
      <x:c r="A200" s="69" t="str"/>
      <x:c r="B200" s="69" t="str"/>
      <x:c r="C200" s="58" t="str"/>
      <x:c r="D200" s="58" t="str"/>
      <x:c r="E200" s="58" t="str"/>
      <x:c r="F200" s="70"/>
      <x:c r="G200" s="70"/>
      <x:c r="H200" s="70"/>
      <x:c r="I200" s="70"/>
      <x:c r="J200" s="70"/>
      <x:c r="K200" s="66" t="str">
        <x:f>IF(C200="","",MAX(0,H200-I200+J200))</x:f>
      </x:c>
      <x:c r="L200" s="66" t="str">
        <x:f>IF(C200="","",MAX(0,F200+G200-K200))</x:f>
      </x:c>
      <x:c r="M200" s="66"/>
      <x:c r="N200" s="66" t="str">
        <x:f>IF(C200="","",F200*(1-0.2))</x:f>
      </x:c>
      <x:c r="O200" s="66" t="str">
        <x:f>IF(C200="","",F200*(1+0.2))</x:f>
      </x:c>
      <x:c r="P200" s="60" t="str">
        <x:f>IF(C200="","",IF(L200=0,"정상",IF(L200&lt;N200,"Flex 미달",IF(L200&gt;O200,"Flex 초과","정상"))))</x:f>
      </x:c>
      <x:c r="Q200" s="66" t="str">
        <x:f>IF(C200="","",IF(L200=0,0,ROUNDUP(L200/M200,0)*M200))</x:f>
      </x:c>
      <x:c r="R200" s="66" t="str">
        <x:f>IF(C200="","",Q200*SUMIF('07_기준정보'!$B$5:$B$204,C200,'07_기준정보'!$F$5:$F$204))</x:f>
      </x:c>
      <x:c r="S200" s="58" t="str">
        <x:v>미검토</x:v>
      </x:c>
    </x:row>
    <x:row r="201">
      <x:c r="A201" s="69" t="str"/>
      <x:c r="B201" s="69" t="str"/>
      <x:c r="C201" s="58" t="str"/>
      <x:c r="D201" s="58" t="str"/>
      <x:c r="E201" s="58" t="str"/>
      <x:c r="F201" s="70"/>
      <x:c r="G201" s="70"/>
      <x:c r="H201" s="70"/>
      <x:c r="I201" s="70"/>
      <x:c r="J201" s="70"/>
      <x:c r="K201" s="66" t="str">
        <x:f>IF(C201="","",MAX(0,H201-I201+J201))</x:f>
      </x:c>
      <x:c r="L201" s="66" t="str">
        <x:f>IF(C201="","",MAX(0,F201+G201-K201))</x:f>
      </x:c>
      <x:c r="M201" s="66"/>
      <x:c r="N201" s="66" t="str">
        <x:f>IF(C201="","",F201*(1-0.2))</x:f>
      </x:c>
      <x:c r="O201" s="66" t="str">
        <x:f>IF(C201="","",F201*(1+0.2))</x:f>
      </x:c>
      <x:c r="P201" s="60" t="str">
        <x:f>IF(C201="","",IF(L201=0,"정상",IF(L201&lt;N201,"Flex 미달",IF(L201&gt;O201,"Flex 초과","정상"))))</x:f>
      </x:c>
      <x:c r="Q201" s="66" t="str">
        <x:f>IF(C201="","",IF(L201=0,0,ROUNDUP(L201/M201,0)*M201))</x:f>
      </x:c>
      <x:c r="R201" s="66" t="str">
        <x:f>IF(C201="","",Q201*SUMIF('07_기준정보'!$B$5:$B$204,C201,'07_기준정보'!$F$5:$F$204))</x:f>
      </x:c>
      <x:c r="S201" s="58" t="str">
        <x:v>미검토</x:v>
      </x:c>
    </x:row>
    <x:row r="202">
      <x:c r="A202" s="69" t="str"/>
      <x:c r="B202" s="69" t="str"/>
      <x:c r="C202" s="58" t="str"/>
      <x:c r="D202" s="58" t="str"/>
      <x:c r="E202" s="58" t="str"/>
      <x:c r="F202" s="70"/>
      <x:c r="G202" s="70"/>
      <x:c r="H202" s="70"/>
      <x:c r="I202" s="70"/>
      <x:c r="J202" s="70"/>
      <x:c r="K202" s="66" t="str">
        <x:f>IF(C202="","",MAX(0,H202-I202+J202))</x:f>
      </x:c>
      <x:c r="L202" s="66" t="str">
        <x:f>IF(C202="","",MAX(0,F202+G202-K202))</x:f>
      </x:c>
      <x:c r="M202" s="66"/>
      <x:c r="N202" s="66" t="str">
        <x:f>IF(C202="","",F202*(1-0.2))</x:f>
      </x:c>
      <x:c r="O202" s="66" t="str">
        <x:f>IF(C202="","",F202*(1+0.2))</x:f>
      </x:c>
      <x:c r="P202" s="60" t="str">
        <x:f>IF(C202="","",IF(L202=0,"정상",IF(L202&lt;N202,"Flex 미달",IF(L202&gt;O202,"Flex 초과","정상"))))</x:f>
      </x:c>
      <x:c r="Q202" s="66" t="str">
        <x:f>IF(C202="","",IF(L202=0,0,ROUNDUP(L202/M202,0)*M202))</x:f>
      </x:c>
      <x:c r="R202" s="66" t="str">
        <x:f>IF(C202="","",Q202*SUMIF('07_기준정보'!$B$5:$B$204,C202,'07_기준정보'!$F$5:$F$204))</x:f>
      </x:c>
      <x:c r="S202" s="58" t="str">
        <x:v>미검토</x:v>
      </x:c>
    </x:row>
    <x:row r="203">
      <x:c r="A203" s="69" t="str"/>
      <x:c r="B203" s="69" t="str"/>
      <x:c r="C203" s="58" t="str"/>
      <x:c r="D203" s="58" t="str"/>
      <x:c r="E203" s="58" t="str"/>
      <x:c r="F203" s="70"/>
      <x:c r="G203" s="70"/>
      <x:c r="H203" s="70"/>
      <x:c r="I203" s="70"/>
      <x:c r="J203" s="70"/>
      <x:c r="K203" s="66" t="str">
        <x:f>IF(C203="","",MAX(0,H203-I203+J203))</x:f>
      </x:c>
      <x:c r="L203" s="66" t="str">
        <x:f>IF(C203="","",MAX(0,F203+G203-K203))</x:f>
      </x:c>
      <x:c r="M203" s="66"/>
      <x:c r="N203" s="66" t="str">
        <x:f>IF(C203="","",F203*(1-0.2))</x:f>
      </x:c>
      <x:c r="O203" s="66" t="str">
        <x:f>IF(C203="","",F203*(1+0.2))</x:f>
      </x:c>
      <x:c r="P203" s="60" t="str">
        <x:f>IF(C203="","",IF(L203=0,"정상",IF(L203&lt;N203,"Flex 미달",IF(L203&gt;O203,"Flex 초과","정상"))))</x:f>
      </x:c>
      <x:c r="Q203" s="66" t="str">
        <x:f>IF(C203="","",IF(L203=0,0,ROUNDUP(L203/M203,0)*M203))</x:f>
      </x:c>
      <x:c r="R203" s="66" t="str">
        <x:f>IF(C203="","",Q203*SUMIF('07_기준정보'!$B$5:$B$204,C203,'07_기준정보'!$F$5:$F$204))</x:f>
      </x:c>
      <x:c r="S203" s="58" t="str">
        <x:v>미검토</x:v>
      </x:c>
    </x:row>
    <x:row r="204">
      <x:c r="A204" s="69" t="str"/>
      <x:c r="B204" s="69" t="str"/>
      <x:c r="C204" s="58" t="str"/>
      <x:c r="D204" s="58" t="str"/>
      <x:c r="E204" s="58" t="str"/>
      <x:c r="F204" s="70"/>
      <x:c r="G204" s="70"/>
      <x:c r="H204" s="70"/>
      <x:c r="I204" s="70"/>
      <x:c r="J204" s="70"/>
      <x:c r="K204" s="66" t="str">
        <x:f>IF(C204="","",MAX(0,H204-I204+J204))</x:f>
      </x:c>
      <x:c r="L204" s="66" t="str">
        <x:f>IF(C204="","",MAX(0,F204+G204-K204))</x:f>
      </x:c>
      <x:c r="M204" s="66"/>
      <x:c r="N204" s="66" t="str">
        <x:f>IF(C204="","",F204*(1-0.2))</x:f>
      </x:c>
      <x:c r="O204" s="66" t="str">
        <x:f>IF(C204="","",F204*(1+0.2))</x:f>
      </x:c>
      <x:c r="P204" s="60" t="str">
        <x:f>IF(C204="","",IF(L204=0,"정상",IF(L204&lt;N204,"Flex 미달",IF(L204&gt;O204,"Flex 초과","정상"))))</x:f>
      </x:c>
      <x:c r="Q204" s="66" t="str">
        <x:f>IF(C204="","",IF(L204=0,0,ROUNDUP(L204/M204,0)*M204))</x:f>
      </x:c>
      <x:c r="R204" s="66" t="str">
        <x:f>IF(C204="","",Q204*SUMIF('07_기준정보'!$B$5:$B$204,C204,'07_기준정보'!$F$5:$F$204))</x:f>
      </x:c>
      <x:c r="S204" s="58" t="str">
        <x:v>미검토</x:v>
      </x:c>
    </x:row>
  </x:sheetData>
  <x:mergeCells>
    <x:mergeCell ref="A1:J1"/>
    <x:mergeCell ref="A2:J2"/>
  </x:mergeCells>
  <x:conditionalFormatting sqref="P5:P204">
    <x:cfRule type="containsText" dxfId="0" priority="1" operator="containsText" text="Flex 초과"/>
  </x:conditionalFormatting>
  <x:dataValidations count="1">
    <x:dataValidation type="list" sqref="S5:S204">
      <x:formula1>"미검토,정상,예외 승인,확정"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0857d851f142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22" hidden="0" customWidth="1"/>
    <x:col min="5" max="5" width="18" hidden="0" customWidth="1"/>
    <x:col min="6" max="6" width="12" hidden="0" customWidth="1"/>
    <x:col min="7" max="7" width="10" hidden="0" customWidth="1"/>
    <x:col min="8" max="8" width="10" hidden="0" customWidth="1"/>
    <x:col min="9" max="9" width="13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14" hidden="0" customWidth="1"/>
    <x:col min="15" max="15" width="10" hidden="0" customWidth="1"/>
    <x:col min="16" max="16" width="14" hidden="0" customWidth="1"/>
    <x:col min="17" max="17" width="10" hidden="0" customWidth="1"/>
    <x:col min="18" max="18" width="13" hidden="0" customWidth="1"/>
    <x:col min="19" max="19" width="14" hidden="0" customWidth="1"/>
    <x:col min="20" max="20" width="12" hidden="0" customWidth="1"/>
    <x:col min="21" max="21" width="14" hidden="0" customWidth="1"/>
  </x:cols>
  <x:sheetData>
    <x:row r="1" ht="28" customHeight="1">
      <x:c r="A1" s="52" t="str">
        <x:v>옵션 발주량 계산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</x:row>
    <x:row r="2">
      <x:c r="A2" s="53" t="str">
        <x:v>기종별 BOM·장착율을 입력한 후 옵션코드별로 Common품을 합산합니다.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  <x:c r="K3" s="54"/>
      <x:c r="L3" s="54"/>
      <x:c r="M3" s="54"/>
      <x:c r="N3" s="54"/>
      <x:c r="O3" s="54"/>
      <x:c r="P3" s="54"/>
      <x:c r="Q3" s="54"/>
      <x:c r="R3" s="54"/>
      <x:c r="S3" s="54"/>
      <x:c r="T3" s="54"/>
      <x:c r="U3" s="54"/>
    </x:row>
    <x:row r="4">
      <x:c r="A4" s="55" t="str">
        <x:v>발주월</x:v>
      </x:c>
      <x:c r="B4" s="55" t="str">
        <x:v>필요월도</x:v>
      </x:c>
      <x:c r="C4" s="55" t="str">
        <x:v>옵션코드</x:v>
      </x:c>
      <x:c r="D4" s="55" t="str">
        <x:v>옵션명</x:v>
      </x:c>
      <x:c r="E4" s="55" t="str">
        <x:v>기종코드</x:v>
      </x:c>
      <x:c r="F4" s="55" t="str">
        <x:v>기기확정수요</x:v>
      </x:c>
      <x:c r="G4" s="55" t="str">
        <x:v>BOM수량</x:v>
      </x:c>
      <x:c r="H4" s="55" t="str">
        <x:v>장착율</x:v>
      </x:c>
      <x:c r="I4" s="55" t="str">
        <x:v>평균사용량</x:v>
      </x:c>
      <x:c r="J4" s="55" t="str">
        <x:v>별도수요</x:v>
      </x:c>
      <x:c r="K4" s="55" t="str">
        <x:v>이론수요</x:v>
      </x:c>
      <x:c r="L4" s="55" t="str">
        <x:v>옵션가용재고</x:v>
      </x:c>
      <x:c r="M4" s="55" t="str">
        <x:v>안전재고</x:v>
      </x:c>
      <x:c r="N4" s="55" t="str">
        <x:v>계산 필요량</x:v>
      </x:c>
      <x:c r="O4" s="55" t="str">
        <x:v>MOQ</x:v>
      </x:c>
      <x:c r="P4" s="55" t="str">
        <x:v>Flex 판정</x:v>
      </x:c>
      <x:c r="Q4" s="55" t="str">
        <x:v>필수옵션</x:v>
      </x:c>
      <x:c r="R4" s="55" t="str">
        <x:v>누락검증</x:v>
      </x:c>
      <x:c r="S4" s="55" t="str">
        <x:v>최종 발주량</x:v>
      </x:c>
      <x:c r="T4" s="55" t="str">
        <x:v>단가</x:v>
      </x:c>
      <x:c r="U4" s="55" t="str">
        <x:v>발주금액</x:v>
      </x:c>
    </x:row>
    <x:row r="5">
      <x:c r="A5" s="69" t="str"/>
      <x:c r="B5" s="69" t="str"/>
      <x:c r="C5" s="58" t="str"/>
      <x:c r="D5" s="58" t="str"/>
      <x:c r="E5" s="58" t="str"/>
      <x:c r="F5" s="70"/>
      <x:c r="G5" s="70"/>
      <x:c r="H5" s="71"/>
      <x:c r="I5" s="72"/>
      <x:c r="J5" s="72"/>
      <x:c r="K5" s="73" t="str">
        <x:f>IF(C5="","",F5*G5*H5*I5+J5)</x:f>
      </x:c>
      <x:c r="L5" s="73"/>
      <x:c r="M5" s="73"/>
      <x:c r="N5" s="73" t="str">
        <x:f>IF(C5="","",MAX(0,K5+M5-L5))</x:f>
      </x:c>
      <x:c r="O5" s="72"/>
      <x:c r="P5" s="60" t="str">
        <x:f>IF(C5="","",IF(N5=0,"정상",IF(N5&gt;O5*10,"MOQ 과잉 확인","정상")))</x:f>
      </x:c>
      <x:c r="Q5" s="58" t="str"/>
      <x:c r="R5" s="60" t="str">
        <x:f>IF(C5="","",IF(Q5="Y",IF(K5&gt;0,"정상","누락"),"정상"))</x:f>
      </x:c>
      <x:c r="S5" s="66" t="str">
        <x:f>IF(C5="","",IF(N5=0,0,ROUNDUP(N5/O5,0)*O5))</x:f>
      </x:c>
      <x:c r="T5" s="66"/>
      <x:c r="U5" s="66" t="str">
        <x:f>IF(C5="","",S5*T5)</x:f>
      </x:c>
    </x:row>
    <x:row r="6">
      <x:c r="A6" s="69" t="str"/>
      <x:c r="B6" s="69" t="str"/>
      <x:c r="C6" s="58" t="str"/>
      <x:c r="D6" s="58" t="str"/>
      <x:c r="E6" s="58" t="str"/>
      <x:c r="F6" s="70"/>
      <x:c r="G6" s="70"/>
      <x:c r="H6" s="71"/>
      <x:c r="I6" s="72"/>
      <x:c r="J6" s="72"/>
      <x:c r="K6" s="73" t="str">
        <x:f>IF(C6="","",F6*G6*H6*I6+J6)</x:f>
      </x:c>
      <x:c r="L6" s="73"/>
      <x:c r="M6" s="73"/>
      <x:c r="N6" s="73" t="str">
        <x:f>IF(C6="","",MAX(0,K6+M6-L6))</x:f>
      </x:c>
      <x:c r="O6" s="72"/>
      <x:c r="P6" s="60" t="str">
        <x:f>IF(C6="","",IF(N6=0,"정상",IF(N6&gt;O6*10,"MOQ 과잉 확인","정상")))</x:f>
      </x:c>
      <x:c r="Q6" s="58" t="str"/>
      <x:c r="R6" s="60" t="str">
        <x:f>IF(C6="","",IF(Q6="Y",IF(K6&gt;0,"정상","누락"),"정상"))</x:f>
      </x:c>
      <x:c r="S6" s="66" t="str">
        <x:f>IF(C6="","",IF(N6=0,0,ROUNDUP(N6/O6,0)*O6))</x:f>
      </x:c>
      <x:c r="T6" s="66"/>
      <x:c r="U6" s="66" t="str">
        <x:f>IF(C6="","",S6*T6)</x:f>
      </x:c>
    </x:row>
    <x:row r="7">
      <x:c r="A7" s="69" t="str"/>
      <x:c r="B7" s="69" t="str"/>
      <x:c r="C7" s="58" t="str"/>
      <x:c r="D7" s="58" t="str"/>
      <x:c r="E7" s="58" t="str"/>
      <x:c r="F7" s="70"/>
      <x:c r="G7" s="70"/>
      <x:c r="H7" s="71"/>
      <x:c r="I7" s="72"/>
      <x:c r="J7" s="72"/>
      <x:c r="K7" s="73" t="str">
        <x:f>IF(C7="","",F7*G7*H7*I7+J7)</x:f>
      </x:c>
      <x:c r="L7" s="73"/>
      <x:c r="M7" s="73"/>
      <x:c r="N7" s="73" t="str">
        <x:f>IF(C7="","",MAX(0,K7+M7-L7))</x:f>
      </x:c>
      <x:c r="O7" s="72"/>
      <x:c r="P7" s="60" t="str">
        <x:f>IF(C7="","",IF(N7=0,"정상",IF(N7&gt;O7*10,"MOQ 과잉 확인","정상")))</x:f>
      </x:c>
      <x:c r="Q7" s="58" t="str"/>
      <x:c r="R7" s="60" t="str">
        <x:f>IF(C7="","",IF(Q7="Y",IF(K7&gt;0,"정상","누락"),"정상"))</x:f>
      </x:c>
      <x:c r="S7" s="66" t="str">
        <x:f>IF(C7="","",IF(N7=0,0,ROUNDUP(N7/O7,0)*O7))</x:f>
      </x:c>
      <x:c r="T7" s="66"/>
      <x:c r="U7" s="66" t="str">
        <x:f>IF(C7="","",S7*T7)</x:f>
      </x:c>
    </x:row>
    <x:row r="8">
      <x:c r="A8" s="69" t="str"/>
      <x:c r="B8" s="69" t="str"/>
      <x:c r="C8" s="58" t="str"/>
      <x:c r="D8" s="58" t="str"/>
      <x:c r="E8" s="58" t="str"/>
      <x:c r="F8" s="70"/>
      <x:c r="G8" s="70"/>
      <x:c r="H8" s="71"/>
      <x:c r="I8" s="72"/>
      <x:c r="J8" s="72"/>
      <x:c r="K8" s="73" t="str">
        <x:f>IF(C8="","",F8*G8*H8*I8+J8)</x:f>
      </x:c>
      <x:c r="L8" s="73"/>
      <x:c r="M8" s="73"/>
      <x:c r="N8" s="73" t="str">
        <x:f>IF(C8="","",MAX(0,K8+M8-L8))</x:f>
      </x:c>
      <x:c r="O8" s="72"/>
      <x:c r="P8" s="60" t="str">
        <x:f>IF(C8="","",IF(N8=0,"정상",IF(N8&gt;O8*10,"MOQ 과잉 확인","정상")))</x:f>
      </x:c>
      <x:c r="Q8" s="58" t="str"/>
      <x:c r="R8" s="60" t="str">
        <x:f>IF(C8="","",IF(Q8="Y",IF(K8&gt;0,"정상","누락"),"정상"))</x:f>
      </x:c>
      <x:c r="S8" s="66" t="str">
        <x:f>IF(C8="","",IF(N8=0,0,ROUNDUP(N8/O8,0)*O8))</x:f>
      </x:c>
      <x:c r="T8" s="66"/>
      <x:c r="U8" s="66" t="str">
        <x:f>IF(C8="","",S8*T8)</x:f>
      </x:c>
    </x:row>
    <x:row r="9">
      <x:c r="A9" s="69" t="str"/>
      <x:c r="B9" s="69" t="str"/>
      <x:c r="C9" s="58" t="str"/>
      <x:c r="D9" s="58" t="str"/>
      <x:c r="E9" s="58" t="str"/>
      <x:c r="F9" s="70"/>
      <x:c r="G9" s="70"/>
      <x:c r="H9" s="71"/>
      <x:c r="I9" s="72"/>
      <x:c r="J9" s="72"/>
      <x:c r="K9" s="73" t="str">
        <x:f>IF(C9="","",F9*G9*H9*I9+J9)</x:f>
      </x:c>
      <x:c r="L9" s="73"/>
      <x:c r="M9" s="73"/>
      <x:c r="N9" s="73" t="str">
        <x:f>IF(C9="","",MAX(0,K9+M9-L9))</x:f>
      </x:c>
      <x:c r="O9" s="72"/>
      <x:c r="P9" s="60" t="str">
        <x:f>IF(C9="","",IF(N9=0,"정상",IF(N9&gt;O9*10,"MOQ 과잉 확인","정상")))</x:f>
      </x:c>
      <x:c r="Q9" s="58" t="str"/>
      <x:c r="R9" s="60" t="str">
        <x:f>IF(C9="","",IF(Q9="Y",IF(K9&gt;0,"정상","누락"),"정상"))</x:f>
      </x:c>
      <x:c r="S9" s="66" t="str">
        <x:f>IF(C9="","",IF(N9=0,0,ROUNDUP(N9/O9,0)*O9))</x:f>
      </x:c>
      <x:c r="T9" s="66"/>
      <x:c r="U9" s="66" t="str">
        <x:f>IF(C9="","",S9*T9)</x:f>
      </x:c>
    </x:row>
    <x:row r="10">
      <x:c r="A10" s="69" t="str"/>
      <x:c r="B10" s="69" t="str"/>
      <x:c r="C10" s="58" t="str"/>
      <x:c r="D10" s="58" t="str"/>
      <x:c r="E10" s="58" t="str"/>
      <x:c r="F10" s="70"/>
      <x:c r="G10" s="70"/>
      <x:c r="H10" s="71"/>
      <x:c r="I10" s="72"/>
      <x:c r="J10" s="72"/>
      <x:c r="K10" s="73" t="str">
        <x:f>IF(C10="","",F10*G10*H10*I10+J10)</x:f>
      </x:c>
      <x:c r="L10" s="73"/>
      <x:c r="M10" s="73"/>
      <x:c r="N10" s="73" t="str">
        <x:f>IF(C10="","",MAX(0,K10+M10-L10))</x:f>
      </x:c>
      <x:c r="O10" s="72"/>
      <x:c r="P10" s="60" t="str">
        <x:f>IF(C10="","",IF(N10=0,"정상",IF(N10&gt;O10*10,"MOQ 과잉 확인","정상")))</x:f>
      </x:c>
      <x:c r="Q10" s="58" t="str"/>
      <x:c r="R10" s="60" t="str">
        <x:f>IF(C10="","",IF(Q10="Y",IF(K10&gt;0,"정상","누락"),"정상"))</x:f>
      </x:c>
      <x:c r="S10" s="66" t="str">
        <x:f>IF(C10="","",IF(N10=0,0,ROUNDUP(N10/O10,0)*O10))</x:f>
      </x:c>
      <x:c r="T10" s="66"/>
      <x:c r="U10" s="66" t="str">
        <x:f>IF(C10="","",S10*T10)</x:f>
      </x:c>
    </x:row>
    <x:row r="11">
      <x:c r="A11" s="69" t="str"/>
      <x:c r="B11" s="69" t="str"/>
      <x:c r="C11" s="58" t="str"/>
      <x:c r="D11" s="58" t="str"/>
      <x:c r="E11" s="58" t="str"/>
      <x:c r="F11" s="70"/>
      <x:c r="G11" s="70"/>
      <x:c r="H11" s="71"/>
      <x:c r="I11" s="72"/>
      <x:c r="J11" s="72"/>
      <x:c r="K11" s="73" t="str">
        <x:f>IF(C11="","",F11*G11*H11*I11+J11)</x:f>
      </x:c>
      <x:c r="L11" s="73"/>
      <x:c r="M11" s="73"/>
      <x:c r="N11" s="73" t="str">
        <x:f>IF(C11="","",MAX(0,K11+M11-L11))</x:f>
      </x:c>
      <x:c r="O11" s="72"/>
      <x:c r="P11" s="60" t="str">
        <x:f>IF(C11="","",IF(N11=0,"정상",IF(N11&gt;O11*10,"MOQ 과잉 확인","정상")))</x:f>
      </x:c>
      <x:c r="Q11" s="58" t="str"/>
      <x:c r="R11" s="60" t="str">
        <x:f>IF(C11="","",IF(Q11="Y",IF(K11&gt;0,"정상","누락"),"정상"))</x:f>
      </x:c>
      <x:c r="S11" s="66" t="str">
        <x:f>IF(C11="","",IF(N11=0,0,ROUNDUP(N11/O11,0)*O11))</x:f>
      </x:c>
      <x:c r="T11" s="66"/>
      <x:c r="U11" s="66" t="str">
        <x:f>IF(C11="","",S11*T11)</x:f>
      </x:c>
    </x:row>
    <x:row r="12">
      <x:c r="A12" s="69" t="str"/>
      <x:c r="B12" s="69" t="str"/>
      <x:c r="C12" s="58" t="str"/>
      <x:c r="D12" s="58" t="str"/>
      <x:c r="E12" s="58" t="str"/>
      <x:c r="F12" s="70"/>
      <x:c r="G12" s="70"/>
      <x:c r="H12" s="71"/>
      <x:c r="I12" s="72"/>
      <x:c r="J12" s="72"/>
      <x:c r="K12" s="73" t="str">
        <x:f>IF(C12="","",F12*G12*H12*I12+J12)</x:f>
      </x:c>
      <x:c r="L12" s="73"/>
      <x:c r="M12" s="73"/>
      <x:c r="N12" s="73" t="str">
        <x:f>IF(C12="","",MAX(0,K12+M12-L12))</x:f>
      </x:c>
      <x:c r="O12" s="72"/>
      <x:c r="P12" s="60" t="str">
        <x:f>IF(C12="","",IF(N12=0,"정상",IF(N12&gt;O12*10,"MOQ 과잉 확인","정상")))</x:f>
      </x:c>
      <x:c r="Q12" s="58" t="str"/>
      <x:c r="R12" s="60" t="str">
        <x:f>IF(C12="","",IF(Q12="Y",IF(K12&gt;0,"정상","누락"),"정상"))</x:f>
      </x:c>
      <x:c r="S12" s="66" t="str">
        <x:f>IF(C12="","",IF(N12=0,0,ROUNDUP(N12/O12,0)*O12))</x:f>
      </x:c>
      <x:c r="T12" s="66"/>
      <x:c r="U12" s="66" t="str">
        <x:f>IF(C12="","",S12*T12)</x:f>
      </x:c>
    </x:row>
    <x:row r="13">
      <x:c r="A13" s="69" t="str"/>
      <x:c r="B13" s="69" t="str"/>
      <x:c r="C13" s="58" t="str"/>
      <x:c r="D13" s="58" t="str"/>
      <x:c r="E13" s="58" t="str"/>
      <x:c r="F13" s="70"/>
      <x:c r="G13" s="70"/>
      <x:c r="H13" s="71"/>
      <x:c r="I13" s="72"/>
      <x:c r="J13" s="72"/>
      <x:c r="K13" s="73" t="str">
        <x:f>IF(C13="","",F13*G13*H13*I13+J13)</x:f>
      </x:c>
      <x:c r="L13" s="73"/>
      <x:c r="M13" s="73"/>
      <x:c r="N13" s="73" t="str">
        <x:f>IF(C13="","",MAX(0,K13+M13-L13))</x:f>
      </x:c>
      <x:c r="O13" s="72"/>
      <x:c r="P13" s="60" t="str">
        <x:f>IF(C13="","",IF(N13=0,"정상",IF(N13&gt;O13*10,"MOQ 과잉 확인","정상")))</x:f>
      </x:c>
      <x:c r="Q13" s="58" t="str"/>
      <x:c r="R13" s="60" t="str">
        <x:f>IF(C13="","",IF(Q13="Y",IF(K13&gt;0,"정상","누락"),"정상"))</x:f>
      </x:c>
      <x:c r="S13" s="66" t="str">
        <x:f>IF(C13="","",IF(N13=0,0,ROUNDUP(N13/O13,0)*O13))</x:f>
      </x:c>
      <x:c r="T13" s="66"/>
      <x:c r="U13" s="66" t="str">
        <x:f>IF(C13="","",S13*T13)</x:f>
      </x:c>
    </x:row>
    <x:row r="14">
      <x:c r="A14" s="69" t="str"/>
      <x:c r="B14" s="69" t="str"/>
      <x:c r="C14" s="58" t="str"/>
      <x:c r="D14" s="58" t="str"/>
      <x:c r="E14" s="58" t="str"/>
      <x:c r="F14" s="70"/>
      <x:c r="G14" s="70"/>
      <x:c r="H14" s="71"/>
      <x:c r="I14" s="72"/>
      <x:c r="J14" s="72"/>
      <x:c r="K14" s="73" t="str">
        <x:f>IF(C14="","",F14*G14*H14*I14+J14)</x:f>
      </x:c>
      <x:c r="L14" s="73"/>
      <x:c r="M14" s="73"/>
      <x:c r="N14" s="73" t="str">
        <x:f>IF(C14="","",MAX(0,K14+M14-L14))</x:f>
      </x:c>
      <x:c r="O14" s="72"/>
      <x:c r="P14" s="60" t="str">
        <x:f>IF(C14="","",IF(N14=0,"정상",IF(N14&gt;O14*10,"MOQ 과잉 확인","정상")))</x:f>
      </x:c>
      <x:c r="Q14" s="58" t="str"/>
      <x:c r="R14" s="60" t="str">
        <x:f>IF(C14="","",IF(Q14="Y",IF(K14&gt;0,"정상","누락"),"정상"))</x:f>
      </x:c>
      <x:c r="S14" s="66" t="str">
        <x:f>IF(C14="","",IF(N14=0,0,ROUNDUP(N14/O14,0)*O14))</x:f>
      </x:c>
      <x:c r="T14" s="66"/>
      <x:c r="U14" s="66" t="str">
        <x:f>IF(C14="","",S14*T14)</x:f>
      </x:c>
    </x:row>
    <x:row r="15">
      <x:c r="A15" s="69" t="str"/>
      <x:c r="B15" s="69" t="str"/>
      <x:c r="C15" s="58" t="str"/>
      <x:c r="D15" s="58" t="str"/>
      <x:c r="E15" s="58" t="str"/>
      <x:c r="F15" s="70"/>
      <x:c r="G15" s="70"/>
      <x:c r="H15" s="71"/>
      <x:c r="I15" s="72"/>
      <x:c r="J15" s="72"/>
      <x:c r="K15" s="73" t="str">
        <x:f>IF(C15="","",F15*G15*H15*I15+J15)</x:f>
      </x:c>
      <x:c r="L15" s="73"/>
      <x:c r="M15" s="73"/>
      <x:c r="N15" s="73" t="str">
        <x:f>IF(C15="","",MAX(0,K15+M15-L15))</x:f>
      </x:c>
      <x:c r="O15" s="72"/>
      <x:c r="P15" s="60" t="str">
        <x:f>IF(C15="","",IF(N15=0,"정상",IF(N15&gt;O15*10,"MOQ 과잉 확인","정상")))</x:f>
      </x:c>
      <x:c r="Q15" s="58" t="str"/>
      <x:c r="R15" s="60" t="str">
        <x:f>IF(C15="","",IF(Q15="Y",IF(K15&gt;0,"정상","누락"),"정상"))</x:f>
      </x:c>
      <x:c r="S15" s="66" t="str">
        <x:f>IF(C15="","",IF(N15=0,0,ROUNDUP(N15/O15,0)*O15))</x:f>
      </x:c>
      <x:c r="T15" s="66"/>
      <x:c r="U15" s="66" t="str">
        <x:f>IF(C15="","",S15*T15)</x:f>
      </x:c>
    </x:row>
    <x:row r="16">
      <x:c r="A16" s="69" t="str"/>
      <x:c r="B16" s="69" t="str"/>
      <x:c r="C16" s="58" t="str"/>
      <x:c r="D16" s="58" t="str"/>
      <x:c r="E16" s="58" t="str"/>
      <x:c r="F16" s="70"/>
      <x:c r="G16" s="70"/>
      <x:c r="H16" s="71"/>
      <x:c r="I16" s="72"/>
      <x:c r="J16" s="72"/>
      <x:c r="K16" s="73" t="str">
        <x:f>IF(C16="","",F16*G16*H16*I16+J16)</x:f>
      </x:c>
      <x:c r="L16" s="73"/>
      <x:c r="M16" s="73"/>
      <x:c r="N16" s="73" t="str">
        <x:f>IF(C16="","",MAX(0,K16+M16-L16))</x:f>
      </x:c>
      <x:c r="O16" s="72"/>
      <x:c r="P16" s="60" t="str">
        <x:f>IF(C16="","",IF(N16=0,"정상",IF(N16&gt;O16*10,"MOQ 과잉 확인","정상")))</x:f>
      </x:c>
      <x:c r="Q16" s="58" t="str"/>
      <x:c r="R16" s="60" t="str">
        <x:f>IF(C16="","",IF(Q16="Y",IF(K16&gt;0,"정상","누락"),"정상"))</x:f>
      </x:c>
      <x:c r="S16" s="66" t="str">
        <x:f>IF(C16="","",IF(N16=0,0,ROUNDUP(N16/O16,0)*O16))</x:f>
      </x:c>
      <x:c r="T16" s="66"/>
      <x:c r="U16" s="66" t="str">
        <x:f>IF(C16="","",S16*T16)</x:f>
      </x:c>
    </x:row>
    <x:row r="17">
      <x:c r="A17" s="69" t="str"/>
      <x:c r="B17" s="69" t="str"/>
      <x:c r="C17" s="58" t="str"/>
      <x:c r="D17" s="58" t="str"/>
      <x:c r="E17" s="58" t="str"/>
      <x:c r="F17" s="70"/>
      <x:c r="G17" s="70"/>
      <x:c r="H17" s="71"/>
      <x:c r="I17" s="72"/>
      <x:c r="J17" s="72"/>
      <x:c r="K17" s="73" t="str">
        <x:f>IF(C17="","",F17*G17*H17*I17+J17)</x:f>
      </x:c>
      <x:c r="L17" s="73"/>
      <x:c r="M17" s="73"/>
      <x:c r="N17" s="73" t="str">
        <x:f>IF(C17="","",MAX(0,K17+M17-L17))</x:f>
      </x:c>
      <x:c r="O17" s="72"/>
      <x:c r="P17" s="60" t="str">
        <x:f>IF(C17="","",IF(N17=0,"정상",IF(N17&gt;O17*10,"MOQ 과잉 확인","정상")))</x:f>
      </x:c>
      <x:c r="Q17" s="58" t="str"/>
      <x:c r="R17" s="60" t="str">
        <x:f>IF(C17="","",IF(Q17="Y",IF(K17&gt;0,"정상","누락"),"정상"))</x:f>
      </x:c>
      <x:c r="S17" s="66" t="str">
        <x:f>IF(C17="","",IF(N17=0,0,ROUNDUP(N17/O17,0)*O17))</x:f>
      </x:c>
      <x:c r="T17" s="66"/>
      <x:c r="U17" s="66" t="str">
        <x:f>IF(C17="","",S17*T17)</x:f>
      </x:c>
    </x:row>
    <x:row r="18">
      <x:c r="A18" s="69" t="str"/>
      <x:c r="B18" s="69" t="str"/>
      <x:c r="C18" s="58" t="str"/>
      <x:c r="D18" s="58" t="str"/>
      <x:c r="E18" s="58" t="str"/>
      <x:c r="F18" s="70"/>
      <x:c r="G18" s="70"/>
      <x:c r="H18" s="71"/>
      <x:c r="I18" s="72"/>
      <x:c r="J18" s="72"/>
      <x:c r="K18" s="73" t="str">
        <x:f>IF(C18="","",F18*G18*H18*I18+J18)</x:f>
      </x:c>
      <x:c r="L18" s="73"/>
      <x:c r="M18" s="73"/>
      <x:c r="N18" s="73" t="str">
        <x:f>IF(C18="","",MAX(0,K18+M18-L18))</x:f>
      </x:c>
      <x:c r="O18" s="72"/>
      <x:c r="P18" s="60" t="str">
        <x:f>IF(C18="","",IF(N18=0,"정상",IF(N18&gt;O18*10,"MOQ 과잉 확인","정상")))</x:f>
      </x:c>
      <x:c r="Q18" s="58" t="str"/>
      <x:c r="R18" s="60" t="str">
        <x:f>IF(C18="","",IF(Q18="Y",IF(K18&gt;0,"정상","누락"),"정상"))</x:f>
      </x:c>
      <x:c r="S18" s="66" t="str">
        <x:f>IF(C18="","",IF(N18=0,0,ROUNDUP(N18/O18,0)*O18))</x:f>
      </x:c>
      <x:c r="T18" s="66"/>
      <x:c r="U18" s="66" t="str">
        <x:f>IF(C18="","",S18*T18)</x:f>
      </x:c>
    </x:row>
    <x:row r="19">
      <x:c r="A19" s="69" t="str"/>
      <x:c r="B19" s="69" t="str"/>
      <x:c r="C19" s="58" t="str"/>
      <x:c r="D19" s="58" t="str"/>
      <x:c r="E19" s="58" t="str"/>
      <x:c r="F19" s="70"/>
      <x:c r="G19" s="70"/>
      <x:c r="H19" s="71"/>
      <x:c r="I19" s="72"/>
      <x:c r="J19" s="72"/>
      <x:c r="K19" s="73" t="str">
        <x:f>IF(C19="","",F19*G19*H19*I19+J19)</x:f>
      </x:c>
      <x:c r="L19" s="73"/>
      <x:c r="M19" s="73"/>
      <x:c r="N19" s="73" t="str">
        <x:f>IF(C19="","",MAX(0,K19+M19-L19))</x:f>
      </x:c>
      <x:c r="O19" s="72"/>
      <x:c r="P19" s="60" t="str">
        <x:f>IF(C19="","",IF(N19=0,"정상",IF(N19&gt;O19*10,"MOQ 과잉 확인","정상")))</x:f>
      </x:c>
      <x:c r="Q19" s="58" t="str"/>
      <x:c r="R19" s="60" t="str">
        <x:f>IF(C19="","",IF(Q19="Y",IF(K19&gt;0,"정상","누락"),"정상"))</x:f>
      </x:c>
      <x:c r="S19" s="66" t="str">
        <x:f>IF(C19="","",IF(N19=0,0,ROUNDUP(N19/O19,0)*O19))</x:f>
      </x:c>
      <x:c r="T19" s="66"/>
      <x:c r="U19" s="66" t="str">
        <x:f>IF(C19="","",S19*T19)</x:f>
      </x:c>
    </x:row>
    <x:row r="20">
      <x:c r="A20" s="69" t="str"/>
      <x:c r="B20" s="69" t="str"/>
      <x:c r="C20" s="58" t="str"/>
      <x:c r="D20" s="58" t="str"/>
      <x:c r="E20" s="58" t="str"/>
      <x:c r="F20" s="70"/>
      <x:c r="G20" s="70"/>
      <x:c r="H20" s="71"/>
      <x:c r="I20" s="72"/>
      <x:c r="J20" s="72"/>
      <x:c r="K20" s="73" t="str">
        <x:f>IF(C20="","",F20*G20*H20*I20+J20)</x:f>
      </x:c>
      <x:c r="L20" s="73"/>
      <x:c r="M20" s="73"/>
      <x:c r="N20" s="73" t="str">
        <x:f>IF(C20="","",MAX(0,K20+M20-L20))</x:f>
      </x:c>
      <x:c r="O20" s="72"/>
      <x:c r="P20" s="60" t="str">
        <x:f>IF(C20="","",IF(N20=0,"정상",IF(N20&gt;O20*10,"MOQ 과잉 확인","정상")))</x:f>
      </x:c>
      <x:c r="Q20" s="58" t="str"/>
      <x:c r="R20" s="60" t="str">
        <x:f>IF(C20="","",IF(Q20="Y",IF(K20&gt;0,"정상","누락"),"정상"))</x:f>
      </x:c>
      <x:c r="S20" s="66" t="str">
        <x:f>IF(C20="","",IF(N20=0,0,ROUNDUP(N20/O20,0)*O20))</x:f>
      </x:c>
      <x:c r="T20" s="66"/>
      <x:c r="U20" s="66" t="str">
        <x:f>IF(C20="","",S20*T20)</x:f>
      </x:c>
    </x:row>
    <x:row r="21">
      <x:c r="A21" s="69" t="str"/>
      <x:c r="B21" s="69" t="str"/>
      <x:c r="C21" s="58" t="str"/>
      <x:c r="D21" s="58" t="str"/>
      <x:c r="E21" s="58" t="str"/>
      <x:c r="F21" s="70"/>
      <x:c r="G21" s="70"/>
      <x:c r="H21" s="71"/>
      <x:c r="I21" s="72"/>
      <x:c r="J21" s="72"/>
      <x:c r="K21" s="73" t="str">
        <x:f>IF(C21="","",F21*G21*H21*I21+J21)</x:f>
      </x:c>
      <x:c r="L21" s="73"/>
      <x:c r="M21" s="73"/>
      <x:c r="N21" s="73" t="str">
        <x:f>IF(C21="","",MAX(0,K21+M21-L21))</x:f>
      </x:c>
      <x:c r="O21" s="72"/>
      <x:c r="P21" s="60" t="str">
        <x:f>IF(C21="","",IF(N21=0,"정상",IF(N21&gt;O21*10,"MOQ 과잉 확인","정상")))</x:f>
      </x:c>
      <x:c r="Q21" s="58" t="str"/>
      <x:c r="R21" s="60" t="str">
        <x:f>IF(C21="","",IF(Q21="Y",IF(K21&gt;0,"정상","누락"),"정상"))</x:f>
      </x:c>
      <x:c r="S21" s="66" t="str">
        <x:f>IF(C21="","",IF(N21=0,0,ROUNDUP(N21/O21,0)*O21))</x:f>
      </x:c>
      <x:c r="T21" s="66"/>
      <x:c r="U21" s="66" t="str">
        <x:f>IF(C21="","",S21*T21)</x:f>
      </x:c>
    </x:row>
    <x:row r="22">
      <x:c r="A22" s="69" t="str"/>
      <x:c r="B22" s="69" t="str"/>
      <x:c r="C22" s="58" t="str"/>
      <x:c r="D22" s="58" t="str"/>
      <x:c r="E22" s="58" t="str"/>
      <x:c r="F22" s="70"/>
      <x:c r="G22" s="70"/>
      <x:c r="H22" s="71"/>
      <x:c r="I22" s="72"/>
      <x:c r="J22" s="72"/>
      <x:c r="K22" s="73" t="str">
        <x:f>IF(C22="","",F22*G22*H22*I22+J22)</x:f>
      </x:c>
      <x:c r="L22" s="73"/>
      <x:c r="M22" s="73"/>
      <x:c r="N22" s="73" t="str">
        <x:f>IF(C22="","",MAX(0,K22+M22-L22))</x:f>
      </x:c>
      <x:c r="O22" s="72"/>
      <x:c r="P22" s="60" t="str">
        <x:f>IF(C22="","",IF(N22=0,"정상",IF(N22&gt;O22*10,"MOQ 과잉 확인","정상")))</x:f>
      </x:c>
      <x:c r="Q22" s="58" t="str"/>
      <x:c r="R22" s="60" t="str">
        <x:f>IF(C22="","",IF(Q22="Y",IF(K22&gt;0,"정상","누락"),"정상"))</x:f>
      </x:c>
      <x:c r="S22" s="66" t="str">
        <x:f>IF(C22="","",IF(N22=0,0,ROUNDUP(N22/O22,0)*O22))</x:f>
      </x:c>
      <x:c r="T22" s="66"/>
      <x:c r="U22" s="66" t="str">
        <x:f>IF(C22="","",S22*T22)</x:f>
      </x:c>
    </x:row>
    <x:row r="23">
      <x:c r="A23" s="69" t="str"/>
      <x:c r="B23" s="69" t="str"/>
      <x:c r="C23" s="58" t="str"/>
      <x:c r="D23" s="58" t="str"/>
      <x:c r="E23" s="58" t="str"/>
      <x:c r="F23" s="70"/>
      <x:c r="G23" s="70"/>
      <x:c r="H23" s="71"/>
      <x:c r="I23" s="72"/>
      <x:c r="J23" s="72"/>
      <x:c r="K23" s="73" t="str">
        <x:f>IF(C23="","",F23*G23*H23*I23+J23)</x:f>
      </x:c>
      <x:c r="L23" s="73"/>
      <x:c r="M23" s="73"/>
      <x:c r="N23" s="73" t="str">
        <x:f>IF(C23="","",MAX(0,K23+M23-L23))</x:f>
      </x:c>
      <x:c r="O23" s="72"/>
      <x:c r="P23" s="60" t="str">
        <x:f>IF(C23="","",IF(N23=0,"정상",IF(N23&gt;O23*10,"MOQ 과잉 확인","정상")))</x:f>
      </x:c>
      <x:c r="Q23" s="58" t="str"/>
      <x:c r="R23" s="60" t="str">
        <x:f>IF(C23="","",IF(Q23="Y",IF(K23&gt;0,"정상","누락"),"정상"))</x:f>
      </x:c>
      <x:c r="S23" s="66" t="str">
        <x:f>IF(C23="","",IF(N23=0,0,ROUNDUP(N23/O23,0)*O23))</x:f>
      </x:c>
      <x:c r="T23" s="66"/>
      <x:c r="U23" s="66" t="str">
        <x:f>IF(C23="","",S23*T23)</x:f>
      </x:c>
    </x:row>
    <x:row r="24">
      <x:c r="A24" s="69" t="str"/>
      <x:c r="B24" s="69" t="str"/>
      <x:c r="C24" s="58" t="str"/>
      <x:c r="D24" s="58" t="str"/>
      <x:c r="E24" s="58" t="str"/>
      <x:c r="F24" s="70"/>
      <x:c r="G24" s="70"/>
      <x:c r="H24" s="71"/>
      <x:c r="I24" s="72"/>
      <x:c r="J24" s="72"/>
      <x:c r="K24" s="73" t="str">
        <x:f>IF(C24="","",F24*G24*H24*I24+J24)</x:f>
      </x:c>
      <x:c r="L24" s="73"/>
      <x:c r="M24" s="73"/>
      <x:c r="N24" s="73" t="str">
        <x:f>IF(C24="","",MAX(0,K24+M24-L24))</x:f>
      </x:c>
      <x:c r="O24" s="72"/>
      <x:c r="P24" s="60" t="str">
        <x:f>IF(C24="","",IF(N24=0,"정상",IF(N24&gt;O24*10,"MOQ 과잉 확인","정상")))</x:f>
      </x:c>
      <x:c r="Q24" s="58" t="str"/>
      <x:c r="R24" s="60" t="str">
        <x:f>IF(C24="","",IF(Q24="Y",IF(K24&gt;0,"정상","누락"),"정상"))</x:f>
      </x:c>
      <x:c r="S24" s="66" t="str">
        <x:f>IF(C24="","",IF(N24=0,0,ROUNDUP(N24/O24,0)*O24))</x:f>
      </x:c>
      <x:c r="T24" s="66"/>
      <x:c r="U24" s="66" t="str">
        <x:f>IF(C24="","",S24*T24)</x:f>
      </x:c>
    </x:row>
    <x:row r="25">
      <x:c r="A25" s="69" t="str"/>
      <x:c r="B25" s="69" t="str"/>
      <x:c r="C25" s="58" t="str"/>
      <x:c r="D25" s="58" t="str"/>
      <x:c r="E25" s="58" t="str"/>
      <x:c r="F25" s="70"/>
      <x:c r="G25" s="70"/>
      <x:c r="H25" s="71"/>
      <x:c r="I25" s="72"/>
      <x:c r="J25" s="72"/>
      <x:c r="K25" s="73" t="str">
        <x:f>IF(C25="","",F25*G25*H25*I25+J25)</x:f>
      </x:c>
      <x:c r="L25" s="73"/>
      <x:c r="M25" s="73"/>
      <x:c r="N25" s="73" t="str">
        <x:f>IF(C25="","",MAX(0,K25+M25-L25))</x:f>
      </x:c>
      <x:c r="O25" s="72"/>
      <x:c r="P25" s="60" t="str">
        <x:f>IF(C25="","",IF(N25=0,"정상",IF(N25&gt;O25*10,"MOQ 과잉 확인","정상")))</x:f>
      </x:c>
      <x:c r="Q25" s="58" t="str"/>
      <x:c r="R25" s="60" t="str">
        <x:f>IF(C25="","",IF(Q25="Y",IF(K25&gt;0,"정상","누락"),"정상"))</x:f>
      </x:c>
      <x:c r="S25" s="66" t="str">
        <x:f>IF(C25="","",IF(N25=0,0,ROUNDUP(N25/O25,0)*O25))</x:f>
      </x:c>
      <x:c r="T25" s="66"/>
      <x:c r="U25" s="66" t="str">
        <x:f>IF(C25="","",S25*T25)</x:f>
      </x:c>
    </x:row>
    <x:row r="26">
      <x:c r="A26" s="69" t="str"/>
      <x:c r="B26" s="69" t="str"/>
      <x:c r="C26" s="58" t="str"/>
      <x:c r="D26" s="58" t="str"/>
      <x:c r="E26" s="58" t="str"/>
      <x:c r="F26" s="70"/>
      <x:c r="G26" s="70"/>
      <x:c r="H26" s="71"/>
      <x:c r="I26" s="72"/>
      <x:c r="J26" s="72"/>
      <x:c r="K26" s="73" t="str">
        <x:f>IF(C26="","",F26*G26*H26*I26+J26)</x:f>
      </x:c>
      <x:c r="L26" s="73"/>
      <x:c r="M26" s="73"/>
      <x:c r="N26" s="73" t="str">
        <x:f>IF(C26="","",MAX(0,K26+M26-L26))</x:f>
      </x:c>
      <x:c r="O26" s="72"/>
      <x:c r="P26" s="60" t="str">
        <x:f>IF(C26="","",IF(N26=0,"정상",IF(N26&gt;O26*10,"MOQ 과잉 확인","정상")))</x:f>
      </x:c>
      <x:c r="Q26" s="58" t="str"/>
      <x:c r="R26" s="60" t="str">
        <x:f>IF(C26="","",IF(Q26="Y",IF(K26&gt;0,"정상","누락"),"정상"))</x:f>
      </x:c>
      <x:c r="S26" s="66" t="str">
        <x:f>IF(C26="","",IF(N26=0,0,ROUNDUP(N26/O26,0)*O26))</x:f>
      </x:c>
      <x:c r="T26" s="66"/>
      <x:c r="U26" s="66" t="str">
        <x:f>IF(C26="","",S26*T26)</x:f>
      </x:c>
    </x:row>
    <x:row r="27">
      <x:c r="A27" s="69" t="str"/>
      <x:c r="B27" s="69" t="str"/>
      <x:c r="C27" s="58" t="str"/>
      <x:c r="D27" s="58" t="str"/>
      <x:c r="E27" s="58" t="str"/>
      <x:c r="F27" s="70"/>
      <x:c r="G27" s="70"/>
      <x:c r="H27" s="71"/>
      <x:c r="I27" s="72"/>
      <x:c r="J27" s="72"/>
      <x:c r="K27" s="73" t="str">
        <x:f>IF(C27="","",F27*G27*H27*I27+J27)</x:f>
      </x:c>
      <x:c r="L27" s="73"/>
      <x:c r="M27" s="73"/>
      <x:c r="N27" s="73" t="str">
        <x:f>IF(C27="","",MAX(0,K27+M27-L27))</x:f>
      </x:c>
      <x:c r="O27" s="72"/>
      <x:c r="P27" s="60" t="str">
        <x:f>IF(C27="","",IF(N27=0,"정상",IF(N27&gt;O27*10,"MOQ 과잉 확인","정상")))</x:f>
      </x:c>
      <x:c r="Q27" s="58" t="str"/>
      <x:c r="R27" s="60" t="str">
        <x:f>IF(C27="","",IF(Q27="Y",IF(K27&gt;0,"정상","누락"),"정상"))</x:f>
      </x:c>
      <x:c r="S27" s="66" t="str">
        <x:f>IF(C27="","",IF(N27=0,0,ROUNDUP(N27/O27,0)*O27))</x:f>
      </x:c>
      <x:c r="T27" s="66"/>
      <x:c r="U27" s="66" t="str">
        <x:f>IF(C27="","",S27*T27)</x:f>
      </x:c>
    </x:row>
    <x:row r="28">
      <x:c r="A28" s="69" t="str"/>
      <x:c r="B28" s="69" t="str"/>
      <x:c r="C28" s="58" t="str"/>
      <x:c r="D28" s="58" t="str"/>
      <x:c r="E28" s="58" t="str"/>
      <x:c r="F28" s="70"/>
      <x:c r="G28" s="70"/>
      <x:c r="H28" s="71"/>
      <x:c r="I28" s="72"/>
      <x:c r="J28" s="72"/>
      <x:c r="K28" s="73" t="str">
        <x:f>IF(C28="","",F28*G28*H28*I28+J28)</x:f>
      </x:c>
      <x:c r="L28" s="73"/>
      <x:c r="M28" s="73"/>
      <x:c r="N28" s="73" t="str">
        <x:f>IF(C28="","",MAX(0,K28+M28-L28))</x:f>
      </x:c>
      <x:c r="O28" s="72"/>
      <x:c r="P28" s="60" t="str">
        <x:f>IF(C28="","",IF(N28=0,"정상",IF(N28&gt;O28*10,"MOQ 과잉 확인","정상")))</x:f>
      </x:c>
      <x:c r="Q28" s="58" t="str"/>
      <x:c r="R28" s="60" t="str">
        <x:f>IF(C28="","",IF(Q28="Y",IF(K28&gt;0,"정상","누락"),"정상"))</x:f>
      </x:c>
      <x:c r="S28" s="66" t="str">
        <x:f>IF(C28="","",IF(N28=0,0,ROUNDUP(N28/O28,0)*O28))</x:f>
      </x:c>
      <x:c r="T28" s="66"/>
      <x:c r="U28" s="66" t="str">
        <x:f>IF(C28="","",S28*T28)</x:f>
      </x:c>
    </x:row>
    <x:row r="29">
      <x:c r="A29" s="69" t="str"/>
      <x:c r="B29" s="69" t="str"/>
      <x:c r="C29" s="58" t="str"/>
      <x:c r="D29" s="58" t="str"/>
      <x:c r="E29" s="58" t="str"/>
      <x:c r="F29" s="70"/>
      <x:c r="G29" s="70"/>
      <x:c r="H29" s="71"/>
      <x:c r="I29" s="72"/>
      <x:c r="J29" s="72"/>
      <x:c r="K29" s="73" t="str">
        <x:f>IF(C29="","",F29*G29*H29*I29+J29)</x:f>
      </x:c>
      <x:c r="L29" s="73"/>
      <x:c r="M29" s="73"/>
      <x:c r="N29" s="73" t="str">
        <x:f>IF(C29="","",MAX(0,K29+M29-L29))</x:f>
      </x:c>
      <x:c r="O29" s="72"/>
      <x:c r="P29" s="60" t="str">
        <x:f>IF(C29="","",IF(N29=0,"정상",IF(N29&gt;O29*10,"MOQ 과잉 확인","정상")))</x:f>
      </x:c>
      <x:c r="Q29" s="58" t="str"/>
      <x:c r="R29" s="60" t="str">
        <x:f>IF(C29="","",IF(Q29="Y",IF(K29&gt;0,"정상","누락"),"정상"))</x:f>
      </x:c>
      <x:c r="S29" s="66" t="str">
        <x:f>IF(C29="","",IF(N29=0,0,ROUNDUP(N29/O29,0)*O29))</x:f>
      </x:c>
      <x:c r="T29" s="66"/>
      <x:c r="U29" s="66" t="str">
        <x:f>IF(C29="","",S29*T29)</x:f>
      </x:c>
    </x:row>
    <x:row r="30">
      <x:c r="A30" s="69" t="str"/>
      <x:c r="B30" s="69" t="str"/>
      <x:c r="C30" s="58" t="str"/>
      <x:c r="D30" s="58" t="str"/>
      <x:c r="E30" s="58" t="str"/>
      <x:c r="F30" s="70"/>
      <x:c r="G30" s="70"/>
      <x:c r="H30" s="71"/>
      <x:c r="I30" s="72"/>
      <x:c r="J30" s="72"/>
      <x:c r="K30" s="73" t="str">
        <x:f>IF(C30="","",F30*G30*H30*I30+J30)</x:f>
      </x:c>
      <x:c r="L30" s="73"/>
      <x:c r="M30" s="73"/>
      <x:c r="N30" s="73" t="str">
        <x:f>IF(C30="","",MAX(0,K30+M30-L30))</x:f>
      </x:c>
      <x:c r="O30" s="72"/>
      <x:c r="P30" s="60" t="str">
        <x:f>IF(C30="","",IF(N30=0,"정상",IF(N30&gt;O30*10,"MOQ 과잉 확인","정상")))</x:f>
      </x:c>
      <x:c r="Q30" s="58" t="str"/>
      <x:c r="R30" s="60" t="str">
        <x:f>IF(C30="","",IF(Q30="Y",IF(K30&gt;0,"정상","누락"),"정상"))</x:f>
      </x:c>
      <x:c r="S30" s="66" t="str">
        <x:f>IF(C30="","",IF(N30=0,0,ROUNDUP(N30/O30,0)*O30))</x:f>
      </x:c>
      <x:c r="T30" s="66"/>
      <x:c r="U30" s="66" t="str">
        <x:f>IF(C30="","",S30*T30)</x:f>
      </x:c>
    </x:row>
    <x:row r="31">
      <x:c r="A31" s="69" t="str"/>
      <x:c r="B31" s="69" t="str"/>
      <x:c r="C31" s="58" t="str"/>
      <x:c r="D31" s="58" t="str"/>
      <x:c r="E31" s="58" t="str"/>
      <x:c r="F31" s="70"/>
      <x:c r="G31" s="70"/>
      <x:c r="H31" s="71"/>
      <x:c r="I31" s="72"/>
      <x:c r="J31" s="72"/>
      <x:c r="K31" s="73" t="str">
        <x:f>IF(C31="","",F31*G31*H31*I31+J31)</x:f>
      </x:c>
      <x:c r="L31" s="73"/>
      <x:c r="M31" s="73"/>
      <x:c r="N31" s="73" t="str">
        <x:f>IF(C31="","",MAX(0,K31+M31-L31))</x:f>
      </x:c>
      <x:c r="O31" s="72"/>
      <x:c r="P31" s="60" t="str">
        <x:f>IF(C31="","",IF(N31=0,"정상",IF(N31&gt;O31*10,"MOQ 과잉 확인","정상")))</x:f>
      </x:c>
      <x:c r="Q31" s="58" t="str"/>
      <x:c r="R31" s="60" t="str">
        <x:f>IF(C31="","",IF(Q31="Y",IF(K31&gt;0,"정상","누락"),"정상"))</x:f>
      </x:c>
      <x:c r="S31" s="66" t="str">
        <x:f>IF(C31="","",IF(N31=0,0,ROUNDUP(N31/O31,0)*O31))</x:f>
      </x:c>
      <x:c r="T31" s="66"/>
      <x:c r="U31" s="66" t="str">
        <x:f>IF(C31="","",S31*T31)</x:f>
      </x:c>
    </x:row>
    <x:row r="32">
      <x:c r="A32" s="69" t="str"/>
      <x:c r="B32" s="69" t="str"/>
      <x:c r="C32" s="58" t="str"/>
      <x:c r="D32" s="58" t="str"/>
      <x:c r="E32" s="58" t="str"/>
      <x:c r="F32" s="70"/>
      <x:c r="G32" s="70"/>
      <x:c r="H32" s="71"/>
      <x:c r="I32" s="72"/>
      <x:c r="J32" s="72"/>
      <x:c r="K32" s="73" t="str">
        <x:f>IF(C32="","",F32*G32*H32*I32+J32)</x:f>
      </x:c>
      <x:c r="L32" s="73"/>
      <x:c r="M32" s="73"/>
      <x:c r="N32" s="73" t="str">
        <x:f>IF(C32="","",MAX(0,K32+M32-L32))</x:f>
      </x:c>
      <x:c r="O32" s="72"/>
      <x:c r="P32" s="60" t="str">
        <x:f>IF(C32="","",IF(N32=0,"정상",IF(N32&gt;O32*10,"MOQ 과잉 확인","정상")))</x:f>
      </x:c>
      <x:c r="Q32" s="58" t="str"/>
      <x:c r="R32" s="60" t="str">
        <x:f>IF(C32="","",IF(Q32="Y",IF(K32&gt;0,"정상","누락"),"정상"))</x:f>
      </x:c>
      <x:c r="S32" s="66" t="str">
        <x:f>IF(C32="","",IF(N32=0,0,ROUNDUP(N32/O32,0)*O32))</x:f>
      </x:c>
      <x:c r="T32" s="66"/>
      <x:c r="U32" s="66" t="str">
        <x:f>IF(C32="","",S32*T32)</x:f>
      </x:c>
    </x:row>
    <x:row r="33">
      <x:c r="A33" s="69" t="str"/>
      <x:c r="B33" s="69" t="str"/>
      <x:c r="C33" s="58" t="str"/>
      <x:c r="D33" s="58" t="str"/>
      <x:c r="E33" s="58" t="str"/>
      <x:c r="F33" s="70"/>
      <x:c r="G33" s="70"/>
      <x:c r="H33" s="71"/>
      <x:c r="I33" s="72"/>
      <x:c r="J33" s="72"/>
      <x:c r="K33" s="73" t="str">
        <x:f>IF(C33="","",F33*G33*H33*I33+J33)</x:f>
      </x:c>
      <x:c r="L33" s="73"/>
      <x:c r="M33" s="73"/>
      <x:c r="N33" s="73" t="str">
        <x:f>IF(C33="","",MAX(0,K33+M33-L33))</x:f>
      </x:c>
      <x:c r="O33" s="72"/>
      <x:c r="P33" s="60" t="str">
        <x:f>IF(C33="","",IF(N33=0,"정상",IF(N33&gt;O33*10,"MOQ 과잉 확인","정상")))</x:f>
      </x:c>
      <x:c r="Q33" s="58" t="str"/>
      <x:c r="R33" s="60" t="str">
        <x:f>IF(C33="","",IF(Q33="Y",IF(K33&gt;0,"정상","누락"),"정상"))</x:f>
      </x:c>
      <x:c r="S33" s="66" t="str">
        <x:f>IF(C33="","",IF(N33=0,0,ROUNDUP(N33/O33,0)*O33))</x:f>
      </x:c>
      <x:c r="T33" s="66"/>
      <x:c r="U33" s="66" t="str">
        <x:f>IF(C33="","",S33*T33)</x:f>
      </x:c>
    </x:row>
    <x:row r="34">
      <x:c r="A34" s="69" t="str"/>
      <x:c r="B34" s="69" t="str"/>
      <x:c r="C34" s="58" t="str"/>
      <x:c r="D34" s="58" t="str"/>
      <x:c r="E34" s="58" t="str"/>
      <x:c r="F34" s="70"/>
      <x:c r="G34" s="70"/>
      <x:c r="H34" s="71"/>
      <x:c r="I34" s="72"/>
      <x:c r="J34" s="72"/>
      <x:c r="K34" s="73" t="str">
        <x:f>IF(C34="","",F34*G34*H34*I34+J34)</x:f>
      </x:c>
      <x:c r="L34" s="73"/>
      <x:c r="M34" s="73"/>
      <x:c r="N34" s="73" t="str">
        <x:f>IF(C34="","",MAX(0,K34+M34-L34))</x:f>
      </x:c>
      <x:c r="O34" s="72"/>
      <x:c r="P34" s="60" t="str">
        <x:f>IF(C34="","",IF(N34=0,"정상",IF(N34&gt;O34*10,"MOQ 과잉 확인","정상")))</x:f>
      </x:c>
      <x:c r="Q34" s="58" t="str"/>
      <x:c r="R34" s="60" t="str">
        <x:f>IF(C34="","",IF(Q34="Y",IF(K34&gt;0,"정상","누락"),"정상"))</x:f>
      </x:c>
      <x:c r="S34" s="66" t="str">
        <x:f>IF(C34="","",IF(N34=0,0,ROUNDUP(N34/O34,0)*O34))</x:f>
      </x:c>
      <x:c r="T34" s="66"/>
      <x:c r="U34" s="66" t="str">
        <x:f>IF(C34="","",S34*T34)</x:f>
      </x:c>
    </x:row>
    <x:row r="35">
      <x:c r="A35" s="69" t="str"/>
      <x:c r="B35" s="69" t="str"/>
      <x:c r="C35" s="58" t="str"/>
      <x:c r="D35" s="58" t="str"/>
      <x:c r="E35" s="58" t="str"/>
      <x:c r="F35" s="70"/>
      <x:c r="G35" s="70"/>
      <x:c r="H35" s="71"/>
      <x:c r="I35" s="72"/>
      <x:c r="J35" s="72"/>
      <x:c r="K35" s="73" t="str">
        <x:f>IF(C35="","",F35*G35*H35*I35+J35)</x:f>
      </x:c>
      <x:c r="L35" s="73"/>
      <x:c r="M35" s="73"/>
      <x:c r="N35" s="73" t="str">
        <x:f>IF(C35="","",MAX(0,K35+M35-L35))</x:f>
      </x:c>
      <x:c r="O35" s="72"/>
      <x:c r="P35" s="60" t="str">
        <x:f>IF(C35="","",IF(N35=0,"정상",IF(N35&gt;O35*10,"MOQ 과잉 확인","정상")))</x:f>
      </x:c>
      <x:c r="Q35" s="58" t="str"/>
      <x:c r="R35" s="60" t="str">
        <x:f>IF(C35="","",IF(Q35="Y",IF(K35&gt;0,"정상","누락"),"정상"))</x:f>
      </x:c>
      <x:c r="S35" s="66" t="str">
        <x:f>IF(C35="","",IF(N35=0,0,ROUNDUP(N35/O35,0)*O35))</x:f>
      </x:c>
      <x:c r="T35" s="66"/>
      <x:c r="U35" s="66" t="str">
        <x:f>IF(C35="","",S35*T35)</x:f>
      </x:c>
    </x:row>
    <x:row r="36">
      <x:c r="A36" s="69" t="str"/>
      <x:c r="B36" s="69" t="str"/>
      <x:c r="C36" s="58" t="str"/>
      <x:c r="D36" s="58" t="str"/>
      <x:c r="E36" s="58" t="str"/>
      <x:c r="F36" s="70"/>
      <x:c r="G36" s="70"/>
      <x:c r="H36" s="71"/>
      <x:c r="I36" s="72"/>
      <x:c r="J36" s="72"/>
      <x:c r="K36" s="73" t="str">
        <x:f>IF(C36="","",F36*G36*H36*I36+J36)</x:f>
      </x:c>
      <x:c r="L36" s="73"/>
      <x:c r="M36" s="73"/>
      <x:c r="N36" s="73" t="str">
        <x:f>IF(C36="","",MAX(0,K36+M36-L36))</x:f>
      </x:c>
      <x:c r="O36" s="72"/>
      <x:c r="P36" s="60" t="str">
        <x:f>IF(C36="","",IF(N36=0,"정상",IF(N36&gt;O36*10,"MOQ 과잉 확인","정상")))</x:f>
      </x:c>
      <x:c r="Q36" s="58" t="str"/>
      <x:c r="R36" s="60" t="str">
        <x:f>IF(C36="","",IF(Q36="Y",IF(K36&gt;0,"정상","누락"),"정상"))</x:f>
      </x:c>
      <x:c r="S36" s="66" t="str">
        <x:f>IF(C36="","",IF(N36=0,0,ROUNDUP(N36/O36,0)*O36))</x:f>
      </x:c>
      <x:c r="T36" s="66"/>
      <x:c r="U36" s="66" t="str">
        <x:f>IF(C36="","",S36*T36)</x:f>
      </x:c>
    </x:row>
    <x:row r="37">
      <x:c r="A37" s="69" t="str"/>
      <x:c r="B37" s="69" t="str"/>
      <x:c r="C37" s="58" t="str"/>
      <x:c r="D37" s="58" t="str"/>
      <x:c r="E37" s="58" t="str"/>
      <x:c r="F37" s="70"/>
      <x:c r="G37" s="70"/>
      <x:c r="H37" s="71"/>
      <x:c r="I37" s="72"/>
      <x:c r="J37" s="72"/>
      <x:c r="K37" s="73" t="str">
        <x:f>IF(C37="","",F37*G37*H37*I37+J37)</x:f>
      </x:c>
      <x:c r="L37" s="73"/>
      <x:c r="M37" s="73"/>
      <x:c r="N37" s="73" t="str">
        <x:f>IF(C37="","",MAX(0,K37+M37-L37))</x:f>
      </x:c>
      <x:c r="O37" s="72"/>
      <x:c r="P37" s="60" t="str">
        <x:f>IF(C37="","",IF(N37=0,"정상",IF(N37&gt;O37*10,"MOQ 과잉 확인","정상")))</x:f>
      </x:c>
      <x:c r="Q37" s="58" t="str"/>
      <x:c r="R37" s="60" t="str">
        <x:f>IF(C37="","",IF(Q37="Y",IF(K37&gt;0,"정상","누락"),"정상"))</x:f>
      </x:c>
      <x:c r="S37" s="66" t="str">
        <x:f>IF(C37="","",IF(N37=0,0,ROUNDUP(N37/O37,0)*O37))</x:f>
      </x:c>
      <x:c r="T37" s="66"/>
      <x:c r="U37" s="66" t="str">
        <x:f>IF(C37="","",S37*T37)</x:f>
      </x:c>
    </x:row>
    <x:row r="38">
      <x:c r="A38" s="69" t="str"/>
      <x:c r="B38" s="69" t="str"/>
      <x:c r="C38" s="58" t="str"/>
      <x:c r="D38" s="58" t="str"/>
      <x:c r="E38" s="58" t="str"/>
      <x:c r="F38" s="70"/>
      <x:c r="G38" s="70"/>
      <x:c r="H38" s="71"/>
      <x:c r="I38" s="72"/>
      <x:c r="J38" s="72"/>
      <x:c r="K38" s="73" t="str">
        <x:f>IF(C38="","",F38*G38*H38*I38+J38)</x:f>
      </x:c>
      <x:c r="L38" s="73"/>
      <x:c r="M38" s="73"/>
      <x:c r="N38" s="73" t="str">
        <x:f>IF(C38="","",MAX(0,K38+M38-L38))</x:f>
      </x:c>
      <x:c r="O38" s="72"/>
      <x:c r="P38" s="60" t="str">
        <x:f>IF(C38="","",IF(N38=0,"정상",IF(N38&gt;O38*10,"MOQ 과잉 확인","정상")))</x:f>
      </x:c>
      <x:c r="Q38" s="58" t="str"/>
      <x:c r="R38" s="60" t="str">
        <x:f>IF(C38="","",IF(Q38="Y",IF(K38&gt;0,"정상","누락"),"정상"))</x:f>
      </x:c>
      <x:c r="S38" s="66" t="str">
        <x:f>IF(C38="","",IF(N38=0,0,ROUNDUP(N38/O38,0)*O38))</x:f>
      </x:c>
      <x:c r="T38" s="66"/>
      <x:c r="U38" s="66" t="str">
        <x:f>IF(C38="","",S38*T38)</x:f>
      </x:c>
    </x:row>
    <x:row r="39">
      <x:c r="A39" s="69" t="str"/>
      <x:c r="B39" s="69" t="str"/>
      <x:c r="C39" s="58" t="str"/>
      <x:c r="D39" s="58" t="str"/>
      <x:c r="E39" s="58" t="str"/>
      <x:c r="F39" s="70"/>
      <x:c r="G39" s="70"/>
      <x:c r="H39" s="71"/>
      <x:c r="I39" s="72"/>
      <x:c r="J39" s="72"/>
      <x:c r="K39" s="73" t="str">
        <x:f>IF(C39="","",F39*G39*H39*I39+J39)</x:f>
      </x:c>
      <x:c r="L39" s="73"/>
      <x:c r="M39" s="73"/>
      <x:c r="N39" s="73" t="str">
        <x:f>IF(C39="","",MAX(0,K39+M39-L39))</x:f>
      </x:c>
      <x:c r="O39" s="72"/>
      <x:c r="P39" s="60" t="str">
        <x:f>IF(C39="","",IF(N39=0,"정상",IF(N39&gt;O39*10,"MOQ 과잉 확인","정상")))</x:f>
      </x:c>
      <x:c r="Q39" s="58" t="str"/>
      <x:c r="R39" s="60" t="str">
        <x:f>IF(C39="","",IF(Q39="Y",IF(K39&gt;0,"정상","누락"),"정상"))</x:f>
      </x:c>
      <x:c r="S39" s="66" t="str">
        <x:f>IF(C39="","",IF(N39=0,0,ROUNDUP(N39/O39,0)*O39))</x:f>
      </x:c>
      <x:c r="T39" s="66"/>
      <x:c r="U39" s="66" t="str">
        <x:f>IF(C39="","",S39*T39)</x:f>
      </x:c>
    </x:row>
    <x:row r="40">
      <x:c r="A40" s="69" t="str"/>
      <x:c r="B40" s="69" t="str"/>
      <x:c r="C40" s="58" t="str"/>
      <x:c r="D40" s="58" t="str"/>
      <x:c r="E40" s="58" t="str"/>
      <x:c r="F40" s="70"/>
      <x:c r="G40" s="70"/>
      <x:c r="H40" s="71"/>
      <x:c r="I40" s="72"/>
      <x:c r="J40" s="72"/>
      <x:c r="K40" s="73" t="str">
        <x:f>IF(C40="","",F40*G40*H40*I40+J40)</x:f>
      </x:c>
      <x:c r="L40" s="73"/>
      <x:c r="M40" s="73"/>
      <x:c r="N40" s="73" t="str">
        <x:f>IF(C40="","",MAX(0,K40+M40-L40))</x:f>
      </x:c>
      <x:c r="O40" s="72"/>
      <x:c r="P40" s="60" t="str">
        <x:f>IF(C40="","",IF(N40=0,"정상",IF(N40&gt;O40*10,"MOQ 과잉 확인","정상")))</x:f>
      </x:c>
      <x:c r="Q40" s="58" t="str"/>
      <x:c r="R40" s="60" t="str">
        <x:f>IF(C40="","",IF(Q40="Y",IF(K40&gt;0,"정상","누락"),"정상"))</x:f>
      </x:c>
      <x:c r="S40" s="66" t="str">
        <x:f>IF(C40="","",IF(N40=0,0,ROUNDUP(N40/O40,0)*O40))</x:f>
      </x:c>
      <x:c r="T40" s="66"/>
      <x:c r="U40" s="66" t="str">
        <x:f>IF(C40="","",S40*T40)</x:f>
      </x:c>
    </x:row>
    <x:row r="41">
      <x:c r="A41" s="69" t="str"/>
      <x:c r="B41" s="69" t="str"/>
      <x:c r="C41" s="58" t="str"/>
      <x:c r="D41" s="58" t="str"/>
      <x:c r="E41" s="58" t="str"/>
      <x:c r="F41" s="70"/>
      <x:c r="G41" s="70"/>
      <x:c r="H41" s="71"/>
      <x:c r="I41" s="72"/>
      <x:c r="J41" s="72"/>
      <x:c r="K41" s="73" t="str">
        <x:f>IF(C41="","",F41*G41*H41*I41+J41)</x:f>
      </x:c>
      <x:c r="L41" s="73"/>
      <x:c r="M41" s="73"/>
      <x:c r="N41" s="73" t="str">
        <x:f>IF(C41="","",MAX(0,K41+M41-L41))</x:f>
      </x:c>
      <x:c r="O41" s="72"/>
      <x:c r="P41" s="60" t="str">
        <x:f>IF(C41="","",IF(N41=0,"정상",IF(N41&gt;O41*10,"MOQ 과잉 확인","정상")))</x:f>
      </x:c>
      <x:c r="Q41" s="58" t="str"/>
      <x:c r="R41" s="60" t="str">
        <x:f>IF(C41="","",IF(Q41="Y",IF(K41&gt;0,"정상","누락"),"정상"))</x:f>
      </x:c>
      <x:c r="S41" s="66" t="str">
        <x:f>IF(C41="","",IF(N41=0,0,ROUNDUP(N41/O41,0)*O41))</x:f>
      </x:c>
      <x:c r="T41" s="66"/>
      <x:c r="U41" s="66" t="str">
        <x:f>IF(C41="","",S41*T41)</x:f>
      </x:c>
    </x:row>
    <x:row r="42">
      <x:c r="A42" s="69" t="str"/>
      <x:c r="B42" s="69" t="str"/>
      <x:c r="C42" s="58" t="str"/>
      <x:c r="D42" s="58" t="str"/>
      <x:c r="E42" s="58" t="str"/>
      <x:c r="F42" s="70"/>
      <x:c r="G42" s="70"/>
      <x:c r="H42" s="71"/>
      <x:c r="I42" s="72"/>
      <x:c r="J42" s="72"/>
      <x:c r="K42" s="73" t="str">
        <x:f>IF(C42="","",F42*G42*H42*I42+J42)</x:f>
      </x:c>
      <x:c r="L42" s="73"/>
      <x:c r="M42" s="73"/>
      <x:c r="N42" s="73" t="str">
        <x:f>IF(C42="","",MAX(0,K42+M42-L42))</x:f>
      </x:c>
      <x:c r="O42" s="72"/>
      <x:c r="P42" s="60" t="str">
        <x:f>IF(C42="","",IF(N42=0,"정상",IF(N42&gt;O42*10,"MOQ 과잉 확인","정상")))</x:f>
      </x:c>
      <x:c r="Q42" s="58" t="str"/>
      <x:c r="R42" s="60" t="str">
        <x:f>IF(C42="","",IF(Q42="Y",IF(K42&gt;0,"정상","누락"),"정상"))</x:f>
      </x:c>
      <x:c r="S42" s="66" t="str">
        <x:f>IF(C42="","",IF(N42=0,0,ROUNDUP(N42/O42,0)*O42))</x:f>
      </x:c>
      <x:c r="T42" s="66"/>
      <x:c r="U42" s="66" t="str">
        <x:f>IF(C42="","",S42*T42)</x:f>
      </x:c>
    </x:row>
    <x:row r="43">
      <x:c r="A43" s="69" t="str"/>
      <x:c r="B43" s="69" t="str"/>
      <x:c r="C43" s="58" t="str"/>
      <x:c r="D43" s="58" t="str"/>
      <x:c r="E43" s="58" t="str"/>
      <x:c r="F43" s="70"/>
      <x:c r="G43" s="70"/>
      <x:c r="H43" s="71"/>
      <x:c r="I43" s="72"/>
      <x:c r="J43" s="72"/>
      <x:c r="K43" s="73" t="str">
        <x:f>IF(C43="","",F43*G43*H43*I43+J43)</x:f>
      </x:c>
      <x:c r="L43" s="73"/>
      <x:c r="M43" s="73"/>
      <x:c r="N43" s="73" t="str">
        <x:f>IF(C43="","",MAX(0,K43+M43-L43))</x:f>
      </x:c>
      <x:c r="O43" s="72"/>
      <x:c r="P43" s="60" t="str">
        <x:f>IF(C43="","",IF(N43=0,"정상",IF(N43&gt;O43*10,"MOQ 과잉 확인","정상")))</x:f>
      </x:c>
      <x:c r="Q43" s="58" t="str"/>
      <x:c r="R43" s="60" t="str">
        <x:f>IF(C43="","",IF(Q43="Y",IF(K43&gt;0,"정상","누락"),"정상"))</x:f>
      </x:c>
      <x:c r="S43" s="66" t="str">
        <x:f>IF(C43="","",IF(N43=0,0,ROUNDUP(N43/O43,0)*O43))</x:f>
      </x:c>
      <x:c r="T43" s="66"/>
      <x:c r="U43" s="66" t="str">
        <x:f>IF(C43="","",S43*T43)</x:f>
      </x:c>
    </x:row>
    <x:row r="44">
      <x:c r="A44" s="69" t="str"/>
      <x:c r="B44" s="69" t="str"/>
      <x:c r="C44" s="58" t="str"/>
      <x:c r="D44" s="58" t="str"/>
      <x:c r="E44" s="58" t="str"/>
      <x:c r="F44" s="70"/>
      <x:c r="G44" s="70"/>
      <x:c r="H44" s="71"/>
      <x:c r="I44" s="72"/>
      <x:c r="J44" s="72"/>
      <x:c r="K44" s="73" t="str">
        <x:f>IF(C44="","",F44*G44*H44*I44+J44)</x:f>
      </x:c>
      <x:c r="L44" s="73"/>
      <x:c r="M44" s="73"/>
      <x:c r="N44" s="73" t="str">
        <x:f>IF(C44="","",MAX(0,K44+M44-L44))</x:f>
      </x:c>
      <x:c r="O44" s="72"/>
      <x:c r="P44" s="60" t="str">
        <x:f>IF(C44="","",IF(N44=0,"정상",IF(N44&gt;O44*10,"MOQ 과잉 확인","정상")))</x:f>
      </x:c>
      <x:c r="Q44" s="58" t="str"/>
      <x:c r="R44" s="60" t="str">
        <x:f>IF(C44="","",IF(Q44="Y",IF(K44&gt;0,"정상","누락"),"정상"))</x:f>
      </x:c>
      <x:c r="S44" s="66" t="str">
        <x:f>IF(C44="","",IF(N44=0,0,ROUNDUP(N44/O44,0)*O44))</x:f>
      </x:c>
      <x:c r="T44" s="66"/>
      <x:c r="U44" s="66" t="str">
        <x:f>IF(C44="","",S44*T44)</x:f>
      </x:c>
    </x:row>
    <x:row r="45">
      <x:c r="A45" s="69" t="str"/>
      <x:c r="B45" s="69" t="str"/>
      <x:c r="C45" s="58" t="str"/>
      <x:c r="D45" s="58" t="str"/>
      <x:c r="E45" s="58" t="str"/>
      <x:c r="F45" s="70"/>
      <x:c r="G45" s="70"/>
      <x:c r="H45" s="71"/>
      <x:c r="I45" s="72"/>
      <x:c r="J45" s="72"/>
      <x:c r="K45" s="73" t="str">
        <x:f>IF(C45="","",F45*G45*H45*I45+J45)</x:f>
      </x:c>
      <x:c r="L45" s="73"/>
      <x:c r="M45" s="73"/>
      <x:c r="N45" s="73" t="str">
        <x:f>IF(C45="","",MAX(0,K45+M45-L45))</x:f>
      </x:c>
      <x:c r="O45" s="72"/>
      <x:c r="P45" s="60" t="str">
        <x:f>IF(C45="","",IF(N45=0,"정상",IF(N45&gt;O45*10,"MOQ 과잉 확인","정상")))</x:f>
      </x:c>
      <x:c r="Q45" s="58" t="str"/>
      <x:c r="R45" s="60" t="str">
        <x:f>IF(C45="","",IF(Q45="Y",IF(K45&gt;0,"정상","누락"),"정상"))</x:f>
      </x:c>
      <x:c r="S45" s="66" t="str">
        <x:f>IF(C45="","",IF(N45=0,0,ROUNDUP(N45/O45,0)*O45))</x:f>
      </x:c>
      <x:c r="T45" s="66"/>
      <x:c r="U45" s="66" t="str">
        <x:f>IF(C45="","",S45*T45)</x:f>
      </x:c>
    </x:row>
    <x:row r="46">
      <x:c r="A46" s="69" t="str"/>
      <x:c r="B46" s="69" t="str"/>
      <x:c r="C46" s="58" t="str"/>
      <x:c r="D46" s="58" t="str"/>
      <x:c r="E46" s="58" t="str"/>
      <x:c r="F46" s="70"/>
      <x:c r="G46" s="70"/>
      <x:c r="H46" s="71"/>
      <x:c r="I46" s="72"/>
      <x:c r="J46" s="72"/>
      <x:c r="K46" s="73" t="str">
        <x:f>IF(C46="","",F46*G46*H46*I46+J46)</x:f>
      </x:c>
      <x:c r="L46" s="73"/>
      <x:c r="M46" s="73"/>
      <x:c r="N46" s="73" t="str">
        <x:f>IF(C46="","",MAX(0,K46+M46-L46))</x:f>
      </x:c>
      <x:c r="O46" s="72"/>
      <x:c r="P46" s="60" t="str">
        <x:f>IF(C46="","",IF(N46=0,"정상",IF(N46&gt;O46*10,"MOQ 과잉 확인","정상")))</x:f>
      </x:c>
      <x:c r="Q46" s="58" t="str"/>
      <x:c r="R46" s="60" t="str">
        <x:f>IF(C46="","",IF(Q46="Y",IF(K46&gt;0,"정상","누락"),"정상"))</x:f>
      </x:c>
      <x:c r="S46" s="66" t="str">
        <x:f>IF(C46="","",IF(N46=0,0,ROUNDUP(N46/O46,0)*O46))</x:f>
      </x:c>
      <x:c r="T46" s="66"/>
      <x:c r="U46" s="66" t="str">
        <x:f>IF(C46="","",S46*T46)</x:f>
      </x:c>
    </x:row>
    <x:row r="47">
      <x:c r="A47" s="69" t="str"/>
      <x:c r="B47" s="69" t="str"/>
      <x:c r="C47" s="58" t="str"/>
      <x:c r="D47" s="58" t="str"/>
      <x:c r="E47" s="58" t="str"/>
      <x:c r="F47" s="70"/>
      <x:c r="G47" s="70"/>
      <x:c r="H47" s="71"/>
      <x:c r="I47" s="72"/>
      <x:c r="J47" s="72"/>
      <x:c r="K47" s="73" t="str">
        <x:f>IF(C47="","",F47*G47*H47*I47+J47)</x:f>
      </x:c>
      <x:c r="L47" s="73"/>
      <x:c r="M47" s="73"/>
      <x:c r="N47" s="73" t="str">
        <x:f>IF(C47="","",MAX(0,K47+M47-L47))</x:f>
      </x:c>
      <x:c r="O47" s="72"/>
      <x:c r="P47" s="60" t="str">
        <x:f>IF(C47="","",IF(N47=0,"정상",IF(N47&gt;O47*10,"MOQ 과잉 확인","정상")))</x:f>
      </x:c>
      <x:c r="Q47" s="58" t="str"/>
      <x:c r="R47" s="60" t="str">
        <x:f>IF(C47="","",IF(Q47="Y",IF(K47&gt;0,"정상","누락"),"정상"))</x:f>
      </x:c>
      <x:c r="S47" s="66" t="str">
        <x:f>IF(C47="","",IF(N47=0,0,ROUNDUP(N47/O47,0)*O47))</x:f>
      </x:c>
      <x:c r="T47" s="66"/>
      <x:c r="U47" s="66" t="str">
        <x:f>IF(C47="","",S47*T47)</x:f>
      </x:c>
    </x:row>
    <x:row r="48">
      <x:c r="A48" s="69" t="str"/>
      <x:c r="B48" s="69" t="str"/>
      <x:c r="C48" s="58" t="str"/>
      <x:c r="D48" s="58" t="str"/>
      <x:c r="E48" s="58" t="str"/>
      <x:c r="F48" s="70"/>
      <x:c r="G48" s="70"/>
      <x:c r="H48" s="71"/>
      <x:c r="I48" s="72"/>
      <x:c r="J48" s="72"/>
      <x:c r="K48" s="73" t="str">
        <x:f>IF(C48="","",F48*G48*H48*I48+J48)</x:f>
      </x:c>
      <x:c r="L48" s="73"/>
      <x:c r="M48" s="73"/>
      <x:c r="N48" s="73" t="str">
        <x:f>IF(C48="","",MAX(0,K48+M48-L48))</x:f>
      </x:c>
      <x:c r="O48" s="72"/>
      <x:c r="P48" s="60" t="str">
        <x:f>IF(C48="","",IF(N48=0,"정상",IF(N48&gt;O48*10,"MOQ 과잉 확인","정상")))</x:f>
      </x:c>
      <x:c r="Q48" s="58" t="str"/>
      <x:c r="R48" s="60" t="str">
        <x:f>IF(C48="","",IF(Q48="Y",IF(K48&gt;0,"정상","누락"),"정상"))</x:f>
      </x:c>
      <x:c r="S48" s="66" t="str">
        <x:f>IF(C48="","",IF(N48=0,0,ROUNDUP(N48/O48,0)*O48))</x:f>
      </x:c>
      <x:c r="T48" s="66"/>
      <x:c r="U48" s="66" t="str">
        <x:f>IF(C48="","",S48*T48)</x:f>
      </x:c>
    </x:row>
    <x:row r="49">
      <x:c r="A49" s="69" t="str"/>
      <x:c r="B49" s="69" t="str"/>
      <x:c r="C49" s="58" t="str"/>
      <x:c r="D49" s="58" t="str"/>
      <x:c r="E49" s="58" t="str"/>
      <x:c r="F49" s="70"/>
      <x:c r="G49" s="70"/>
      <x:c r="H49" s="71"/>
      <x:c r="I49" s="72"/>
      <x:c r="J49" s="72"/>
      <x:c r="K49" s="73" t="str">
        <x:f>IF(C49="","",F49*G49*H49*I49+J49)</x:f>
      </x:c>
      <x:c r="L49" s="73"/>
      <x:c r="M49" s="73"/>
      <x:c r="N49" s="73" t="str">
        <x:f>IF(C49="","",MAX(0,K49+M49-L49))</x:f>
      </x:c>
      <x:c r="O49" s="72"/>
      <x:c r="P49" s="60" t="str">
        <x:f>IF(C49="","",IF(N49=0,"정상",IF(N49&gt;O49*10,"MOQ 과잉 확인","정상")))</x:f>
      </x:c>
      <x:c r="Q49" s="58" t="str"/>
      <x:c r="R49" s="60" t="str">
        <x:f>IF(C49="","",IF(Q49="Y",IF(K49&gt;0,"정상","누락"),"정상"))</x:f>
      </x:c>
      <x:c r="S49" s="66" t="str">
        <x:f>IF(C49="","",IF(N49=0,0,ROUNDUP(N49/O49,0)*O49))</x:f>
      </x:c>
      <x:c r="T49" s="66"/>
      <x:c r="U49" s="66" t="str">
        <x:f>IF(C49="","",S49*T49)</x:f>
      </x:c>
    </x:row>
    <x:row r="50">
      <x:c r="A50" s="69" t="str"/>
      <x:c r="B50" s="69" t="str"/>
      <x:c r="C50" s="58" t="str"/>
      <x:c r="D50" s="58" t="str"/>
      <x:c r="E50" s="58" t="str"/>
      <x:c r="F50" s="70"/>
      <x:c r="G50" s="70"/>
      <x:c r="H50" s="71"/>
      <x:c r="I50" s="72"/>
      <x:c r="J50" s="72"/>
      <x:c r="K50" s="73" t="str">
        <x:f>IF(C50="","",F50*G50*H50*I50+J50)</x:f>
      </x:c>
      <x:c r="L50" s="73"/>
      <x:c r="M50" s="73"/>
      <x:c r="N50" s="73" t="str">
        <x:f>IF(C50="","",MAX(0,K50+M50-L50))</x:f>
      </x:c>
      <x:c r="O50" s="72"/>
      <x:c r="P50" s="60" t="str">
        <x:f>IF(C50="","",IF(N50=0,"정상",IF(N50&gt;O50*10,"MOQ 과잉 확인","정상")))</x:f>
      </x:c>
      <x:c r="Q50" s="58" t="str"/>
      <x:c r="R50" s="60" t="str">
        <x:f>IF(C50="","",IF(Q50="Y",IF(K50&gt;0,"정상","누락"),"정상"))</x:f>
      </x:c>
      <x:c r="S50" s="66" t="str">
        <x:f>IF(C50="","",IF(N50=0,0,ROUNDUP(N50/O50,0)*O50))</x:f>
      </x:c>
      <x:c r="T50" s="66"/>
      <x:c r="U50" s="66" t="str">
        <x:f>IF(C50="","",S50*T50)</x:f>
      </x:c>
    </x:row>
    <x:row r="51">
      <x:c r="A51" s="69" t="str"/>
      <x:c r="B51" s="69" t="str"/>
      <x:c r="C51" s="58" t="str"/>
      <x:c r="D51" s="58" t="str"/>
      <x:c r="E51" s="58" t="str"/>
      <x:c r="F51" s="70"/>
      <x:c r="G51" s="70"/>
      <x:c r="H51" s="71"/>
      <x:c r="I51" s="72"/>
      <x:c r="J51" s="72"/>
      <x:c r="K51" s="73" t="str">
        <x:f>IF(C51="","",F51*G51*H51*I51+J51)</x:f>
      </x:c>
      <x:c r="L51" s="73"/>
      <x:c r="M51" s="73"/>
      <x:c r="N51" s="73" t="str">
        <x:f>IF(C51="","",MAX(0,K51+M51-L51))</x:f>
      </x:c>
      <x:c r="O51" s="72"/>
      <x:c r="P51" s="60" t="str">
        <x:f>IF(C51="","",IF(N51=0,"정상",IF(N51&gt;O51*10,"MOQ 과잉 확인","정상")))</x:f>
      </x:c>
      <x:c r="Q51" s="58" t="str"/>
      <x:c r="R51" s="60" t="str">
        <x:f>IF(C51="","",IF(Q51="Y",IF(K51&gt;0,"정상","누락"),"정상"))</x:f>
      </x:c>
      <x:c r="S51" s="66" t="str">
        <x:f>IF(C51="","",IF(N51=0,0,ROUNDUP(N51/O51,0)*O51))</x:f>
      </x:c>
      <x:c r="T51" s="66"/>
      <x:c r="U51" s="66" t="str">
        <x:f>IF(C51="","",S51*T51)</x:f>
      </x:c>
    </x:row>
    <x:row r="52">
      <x:c r="A52" s="69" t="str"/>
      <x:c r="B52" s="69" t="str"/>
      <x:c r="C52" s="58" t="str"/>
      <x:c r="D52" s="58" t="str"/>
      <x:c r="E52" s="58" t="str"/>
      <x:c r="F52" s="70"/>
      <x:c r="G52" s="70"/>
      <x:c r="H52" s="71"/>
      <x:c r="I52" s="72"/>
      <x:c r="J52" s="72"/>
      <x:c r="K52" s="73" t="str">
        <x:f>IF(C52="","",F52*G52*H52*I52+J52)</x:f>
      </x:c>
      <x:c r="L52" s="73"/>
      <x:c r="M52" s="73"/>
      <x:c r="N52" s="73" t="str">
        <x:f>IF(C52="","",MAX(0,K52+M52-L52))</x:f>
      </x:c>
      <x:c r="O52" s="72"/>
      <x:c r="P52" s="60" t="str">
        <x:f>IF(C52="","",IF(N52=0,"정상",IF(N52&gt;O52*10,"MOQ 과잉 확인","정상")))</x:f>
      </x:c>
      <x:c r="Q52" s="58" t="str"/>
      <x:c r="R52" s="60" t="str">
        <x:f>IF(C52="","",IF(Q52="Y",IF(K52&gt;0,"정상","누락"),"정상"))</x:f>
      </x:c>
      <x:c r="S52" s="66" t="str">
        <x:f>IF(C52="","",IF(N52=0,0,ROUNDUP(N52/O52,0)*O52))</x:f>
      </x:c>
      <x:c r="T52" s="66"/>
      <x:c r="U52" s="66" t="str">
        <x:f>IF(C52="","",S52*T52)</x:f>
      </x:c>
    </x:row>
    <x:row r="53">
      <x:c r="A53" s="69" t="str"/>
      <x:c r="B53" s="69" t="str"/>
      <x:c r="C53" s="58" t="str"/>
      <x:c r="D53" s="58" t="str"/>
      <x:c r="E53" s="58" t="str"/>
      <x:c r="F53" s="70"/>
      <x:c r="G53" s="70"/>
      <x:c r="H53" s="71"/>
      <x:c r="I53" s="72"/>
      <x:c r="J53" s="72"/>
      <x:c r="K53" s="73" t="str">
        <x:f>IF(C53="","",F53*G53*H53*I53+J53)</x:f>
      </x:c>
      <x:c r="L53" s="73"/>
      <x:c r="M53" s="73"/>
      <x:c r="N53" s="73" t="str">
        <x:f>IF(C53="","",MAX(0,K53+M53-L53))</x:f>
      </x:c>
      <x:c r="O53" s="72"/>
      <x:c r="P53" s="60" t="str">
        <x:f>IF(C53="","",IF(N53=0,"정상",IF(N53&gt;O53*10,"MOQ 과잉 확인","정상")))</x:f>
      </x:c>
      <x:c r="Q53" s="58" t="str"/>
      <x:c r="R53" s="60" t="str">
        <x:f>IF(C53="","",IF(Q53="Y",IF(K53&gt;0,"정상","누락"),"정상"))</x:f>
      </x:c>
      <x:c r="S53" s="66" t="str">
        <x:f>IF(C53="","",IF(N53=0,0,ROUNDUP(N53/O53,0)*O53))</x:f>
      </x:c>
      <x:c r="T53" s="66"/>
      <x:c r="U53" s="66" t="str">
        <x:f>IF(C53="","",S53*T53)</x:f>
      </x:c>
    </x:row>
    <x:row r="54">
      <x:c r="A54" s="69" t="str"/>
      <x:c r="B54" s="69" t="str"/>
      <x:c r="C54" s="58" t="str"/>
      <x:c r="D54" s="58" t="str"/>
      <x:c r="E54" s="58" t="str"/>
      <x:c r="F54" s="70"/>
      <x:c r="G54" s="70"/>
      <x:c r="H54" s="71"/>
      <x:c r="I54" s="72"/>
      <x:c r="J54" s="72"/>
      <x:c r="K54" s="73" t="str">
        <x:f>IF(C54="","",F54*G54*H54*I54+J54)</x:f>
      </x:c>
      <x:c r="L54" s="73"/>
      <x:c r="M54" s="73"/>
      <x:c r="N54" s="73" t="str">
        <x:f>IF(C54="","",MAX(0,K54+M54-L54))</x:f>
      </x:c>
      <x:c r="O54" s="72"/>
      <x:c r="P54" s="60" t="str">
        <x:f>IF(C54="","",IF(N54=0,"정상",IF(N54&gt;O54*10,"MOQ 과잉 확인","정상")))</x:f>
      </x:c>
      <x:c r="Q54" s="58" t="str"/>
      <x:c r="R54" s="60" t="str">
        <x:f>IF(C54="","",IF(Q54="Y",IF(K54&gt;0,"정상","누락"),"정상"))</x:f>
      </x:c>
      <x:c r="S54" s="66" t="str">
        <x:f>IF(C54="","",IF(N54=0,0,ROUNDUP(N54/O54,0)*O54))</x:f>
      </x:c>
      <x:c r="T54" s="66"/>
      <x:c r="U54" s="66" t="str">
        <x:f>IF(C54="","",S54*T54)</x:f>
      </x:c>
    </x:row>
    <x:row r="55">
      <x:c r="A55" s="69" t="str"/>
      <x:c r="B55" s="69" t="str"/>
      <x:c r="C55" s="58" t="str"/>
      <x:c r="D55" s="58" t="str"/>
      <x:c r="E55" s="58" t="str"/>
      <x:c r="F55" s="70"/>
      <x:c r="G55" s="70"/>
      <x:c r="H55" s="71"/>
      <x:c r="I55" s="72"/>
      <x:c r="J55" s="72"/>
      <x:c r="K55" s="73" t="str">
        <x:f>IF(C55="","",F55*G55*H55*I55+J55)</x:f>
      </x:c>
      <x:c r="L55" s="73"/>
      <x:c r="M55" s="73"/>
      <x:c r="N55" s="73" t="str">
        <x:f>IF(C55="","",MAX(0,K55+M55-L55))</x:f>
      </x:c>
      <x:c r="O55" s="72"/>
      <x:c r="P55" s="60" t="str">
        <x:f>IF(C55="","",IF(N55=0,"정상",IF(N55&gt;O55*10,"MOQ 과잉 확인","정상")))</x:f>
      </x:c>
      <x:c r="Q55" s="58" t="str"/>
      <x:c r="R55" s="60" t="str">
        <x:f>IF(C55="","",IF(Q55="Y",IF(K55&gt;0,"정상","누락"),"정상"))</x:f>
      </x:c>
      <x:c r="S55" s="66" t="str">
        <x:f>IF(C55="","",IF(N55=0,0,ROUNDUP(N55/O55,0)*O55))</x:f>
      </x:c>
      <x:c r="T55" s="66"/>
      <x:c r="U55" s="66" t="str">
        <x:f>IF(C55="","",S55*T55)</x:f>
      </x:c>
    </x:row>
    <x:row r="56">
      <x:c r="A56" s="69" t="str"/>
      <x:c r="B56" s="69" t="str"/>
      <x:c r="C56" s="58" t="str"/>
      <x:c r="D56" s="58" t="str"/>
      <x:c r="E56" s="58" t="str"/>
      <x:c r="F56" s="70"/>
      <x:c r="G56" s="70"/>
      <x:c r="H56" s="71"/>
      <x:c r="I56" s="72"/>
      <x:c r="J56" s="72"/>
      <x:c r="K56" s="73" t="str">
        <x:f>IF(C56="","",F56*G56*H56*I56+J56)</x:f>
      </x:c>
      <x:c r="L56" s="73"/>
      <x:c r="M56" s="73"/>
      <x:c r="N56" s="73" t="str">
        <x:f>IF(C56="","",MAX(0,K56+M56-L56))</x:f>
      </x:c>
      <x:c r="O56" s="72"/>
      <x:c r="P56" s="60" t="str">
        <x:f>IF(C56="","",IF(N56=0,"정상",IF(N56&gt;O56*10,"MOQ 과잉 확인","정상")))</x:f>
      </x:c>
      <x:c r="Q56" s="58" t="str"/>
      <x:c r="R56" s="60" t="str">
        <x:f>IF(C56="","",IF(Q56="Y",IF(K56&gt;0,"정상","누락"),"정상"))</x:f>
      </x:c>
      <x:c r="S56" s="66" t="str">
        <x:f>IF(C56="","",IF(N56=0,0,ROUNDUP(N56/O56,0)*O56))</x:f>
      </x:c>
      <x:c r="T56" s="66"/>
      <x:c r="U56" s="66" t="str">
        <x:f>IF(C56="","",S56*T56)</x:f>
      </x:c>
    </x:row>
    <x:row r="57">
      <x:c r="A57" s="69" t="str"/>
      <x:c r="B57" s="69" t="str"/>
      <x:c r="C57" s="58" t="str"/>
      <x:c r="D57" s="58" t="str"/>
      <x:c r="E57" s="58" t="str"/>
      <x:c r="F57" s="70"/>
      <x:c r="G57" s="70"/>
      <x:c r="H57" s="71"/>
      <x:c r="I57" s="72"/>
      <x:c r="J57" s="72"/>
      <x:c r="K57" s="73" t="str">
        <x:f>IF(C57="","",F57*G57*H57*I57+J57)</x:f>
      </x:c>
      <x:c r="L57" s="73"/>
      <x:c r="M57" s="73"/>
      <x:c r="N57" s="73" t="str">
        <x:f>IF(C57="","",MAX(0,K57+M57-L57))</x:f>
      </x:c>
      <x:c r="O57" s="72"/>
      <x:c r="P57" s="60" t="str">
        <x:f>IF(C57="","",IF(N57=0,"정상",IF(N57&gt;O57*10,"MOQ 과잉 확인","정상")))</x:f>
      </x:c>
      <x:c r="Q57" s="58" t="str"/>
      <x:c r="R57" s="60" t="str">
        <x:f>IF(C57="","",IF(Q57="Y",IF(K57&gt;0,"정상","누락"),"정상"))</x:f>
      </x:c>
      <x:c r="S57" s="66" t="str">
        <x:f>IF(C57="","",IF(N57=0,0,ROUNDUP(N57/O57,0)*O57))</x:f>
      </x:c>
      <x:c r="T57" s="66"/>
      <x:c r="U57" s="66" t="str">
        <x:f>IF(C57="","",S57*T57)</x:f>
      </x:c>
    </x:row>
    <x:row r="58">
      <x:c r="A58" s="69" t="str"/>
      <x:c r="B58" s="69" t="str"/>
      <x:c r="C58" s="58" t="str"/>
      <x:c r="D58" s="58" t="str"/>
      <x:c r="E58" s="58" t="str"/>
      <x:c r="F58" s="70"/>
      <x:c r="G58" s="70"/>
      <x:c r="H58" s="71"/>
      <x:c r="I58" s="72"/>
      <x:c r="J58" s="72"/>
      <x:c r="K58" s="73" t="str">
        <x:f>IF(C58="","",F58*G58*H58*I58+J58)</x:f>
      </x:c>
      <x:c r="L58" s="73"/>
      <x:c r="M58" s="73"/>
      <x:c r="N58" s="73" t="str">
        <x:f>IF(C58="","",MAX(0,K58+M58-L58))</x:f>
      </x:c>
      <x:c r="O58" s="72"/>
      <x:c r="P58" s="60" t="str">
        <x:f>IF(C58="","",IF(N58=0,"정상",IF(N58&gt;O58*10,"MOQ 과잉 확인","정상")))</x:f>
      </x:c>
      <x:c r="Q58" s="58" t="str"/>
      <x:c r="R58" s="60" t="str">
        <x:f>IF(C58="","",IF(Q58="Y",IF(K58&gt;0,"정상","누락"),"정상"))</x:f>
      </x:c>
      <x:c r="S58" s="66" t="str">
        <x:f>IF(C58="","",IF(N58=0,0,ROUNDUP(N58/O58,0)*O58))</x:f>
      </x:c>
      <x:c r="T58" s="66"/>
      <x:c r="U58" s="66" t="str">
        <x:f>IF(C58="","",S58*T58)</x:f>
      </x:c>
    </x:row>
    <x:row r="59">
      <x:c r="A59" s="69" t="str"/>
      <x:c r="B59" s="69" t="str"/>
      <x:c r="C59" s="58" t="str"/>
      <x:c r="D59" s="58" t="str"/>
      <x:c r="E59" s="58" t="str"/>
      <x:c r="F59" s="70"/>
      <x:c r="G59" s="70"/>
      <x:c r="H59" s="71"/>
      <x:c r="I59" s="72"/>
      <x:c r="J59" s="72"/>
      <x:c r="K59" s="73" t="str">
        <x:f>IF(C59="","",F59*G59*H59*I59+J59)</x:f>
      </x:c>
      <x:c r="L59" s="73"/>
      <x:c r="M59" s="73"/>
      <x:c r="N59" s="73" t="str">
        <x:f>IF(C59="","",MAX(0,K59+M59-L59))</x:f>
      </x:c>
      <x:c r="O59" s="72"/>
      <x:c r="P59" s="60" t="str">
        <x:f>IF(C59="","",IF(N59=0,"정상",IF(N59&gt;O59*10,"MOQ 과잉 확인","정상")))</x:f>
      </x:c>
      <x:c r="Q59" s="58" t="str"/>
      <x:c r="R59" s="60" t="str">
        <x:f>IF(C59="","",IF(Q59="Y",IF(K59&gt;0,"정상","누락"),"정상"))</x:f>
      </x:c>
      <x:c r="S59" s="66" t="str">
        <x:f>IF(C59="","",IF(N59=0,0,ROUNDUP(N59/O59,0)*O59))</x:f>
      </x:c>
      <x:c r="T59" s="66"/>
      <x:c r="U59" s="66" t="str">
        <x:f>IF(C59="","",S59*T59)</x:f>
      </x:c>
    </x:row>
    <x:row r="60">
      <x:c r="A60" s="69" t="str"/>
      <x:c r="B60" s="69" t="str"/>
      <x:c r="C60" s="58" t="str"/>
      <x:c r="D60" s="58" t="str"/>
      <x:c r="E60" s="58" t="str"/>
      <x:c r="F60" s="70"/>
      <x:c r="G60" s="70"/>
      <x:c r="H60" s="71"/>
      <x:c r="I60" s="72"/>
      <x:c r="J60" s="72"/>
      <x:c r="K60" s="73" t="str">
        <x:f>IF(C60="","",F60*G60*H60*I60+J60)</x:f>
      </x:c>
      <x:c r="L60" s="73"/>
      <x:c r="M60" s="73"/>
      <x:c r="N60" s="73" t="str">
        <x:f>IF(C60="","",MAX(0,K60+M60-L60))</x:f>
      </x:c>
      <x:c r="O60" s="72"/>
      <x:c r="P60" s="60" t="str">
        <x:f>IF(C60="","",IF(N60=0,"정상",IF(N60&gt;O60*10,"MOQ 과잉 확인","정상")))</x:f>
      </x:c>
      <x:c r="Q60" s="58" t="str"/>
      <x:c r="R60" s="60" t="str">
        <x:f>IF(C60="","",IF(Q60="Y",IF(K60&gt;0,"정상","누락"),"정상"))</x:f>
      </x:c>
      <x:c r="S60" s="66" t="str">
        <x:f>IF(C60="","",IF(N60=0,0,ROUNDUP(N60/O60,0)*O60))</x:f>
      </x:c>
      <x:c r="T60" s="66"/>
      <x:c r="U60" s="66" t="str">
        <x:f>IF(C60="","",S60*T60)</x:f>
      </x:c>
    </x:row>
    <x:row r="61">
      <x:c r="A61" s="69" t="str"/>
      <x:c r="B61" s="69" t="str"/>
      <x:c r="C61" s="58" t="str"/>
      <x:c r="D61" s="58" t="str"/>
      <x:c r="E61" s="58" t="str"/>
      <x:c r="F61" s="70"/>
      <x:c r="G61" s="70"/>
      <x:c r="H61" s="71"/>
      <x:c r="I61" s="72"/>
      <x:c r="J61" s="72"/>
      <x:c r="K61" s="73" t="str">
        <x:f>IF(C61="","",F61*G61*H61*I61+J61)</x:f>
      </x:c>
      <x:c r="L61" s="73"/>
      <x:c r="M61" s="73"/>
      <x:c r="N61" s="73" t="str">
        <x:f>IF(C61="","",MAX(0,K61+M61-L61))</x:f>
      </x:c>
      <x:c r="O61" s="72"/>
      <x:c r="P61" s="60" t="str">
        <x:f>IF(C61="","",IF(N61=0,"정상",IF(N61&gt;O61*10,"MOQ 과잉 확인","정상")))</x:f>
      </x:c>
      <x:c r="Q61" s="58" t="str"/>
      <x:c r="R61" s="60" t="str">
        <x:f>IF(C61="","",IF(Q61="Y",IF(K61&gt;0,"정상","누락"),"정상"))</x:f>
      </x:c>
      <x:c r="S61" s="66" t="str">
        <x:f>IF(C61="","",IF(N61=0,0,ROUNDUP(N61/O61,0)*O61))</x:f>
      </x:c>
      <x:c r="T61" s="66"/>
      <x:c r="U61" s="66" t="str">
        <x:f>IF(C61="","",S61*T61)</x:f>
      </x:c>
    </x:row>
    <x:row r="62">
      <x:c r="A62" s="69" t="str"/>
      <x:c r="B62" s="69" t="str"/>
      <x:c r="C62" s="58" t="str"/>
      <x:c r="D62" s="58" t="str"/>
      <x:c r="E62" s="58" t="str"/>
      <x:c r="F62" s="70"/>
      <x:c r="G62" s="70"/>
      <x:c r="H62" s="71"/>
      <x:c r="I62" s="72"/>
      <x:c r="J62" s="72"/>
      <x:c r="K62" s="73" t="str">
        <x:f>IF(C62="","",F62*G62*H62*I62+J62)</x:f>
      </x:c>
      <x:c r="L62" s="73"/>
      <x:c r="M62" s="73"/>
      <x:c r="N62" s="73" t="str">
        <x:f>IF(C62="","",MAX(0,K62+M62-L62))</x:f>
      </x:c>
      <x:c r="O62" s="72"/>
      <x:c r="P62" s="60" t="str">
        <x:f>IF(C62="","",IF(N62=0,"정상",IF(N62&gt;O62*10,"MOQ 과잉 확인","정상")))</x:f>
      </x:c>
      <x:c r="Q62" s="58" t="str"/>
      <x:c r="R62" s="60" t="str">
        <x:f>IF(C62="","",IF(Q62="Y",IF(K62&gt;0,"정상","누락"),"정상"))</x:f>
      </x:c>
      <x:c r="S62" s="66" t="str">
        <x:f>IF(C62="","",IF(N62=0,0,ROUNDUP(N62/O62,0)*O62))</x:f>
      </x:c>
      <x:c r="T62" s="66"/>
      <x:c r="U62" s="66" t="str">
        <x:f>IF(C62="","",S62*T62)</x:f>
      </x:c>
    </x:row>
    <x:row r="63">
      <x:c r="A63" s="69" t="str"/>
      <x:c r="B63" s="69" t="str"/>
      <x:c r="C63" s="58" t="str"/>
      <x:c r="D63" s="58" t="str"/>
      <x:c r="E63" s="58" t="str"/>
      <x:c r="F63" s="70"/>
      <x:c r="G63" s="70"/>
      <x:c r="H63" s="71"/>
      <x:c r="I63" s="72"/>
      <x:c r="J63" s="72"/>
      <x:c r="K63" s="73" t="str">
        <x:f>IF(C63="","",F63*G63*H63*I63+J63)</x:f>
      </x:c>
      <x:c r="L63" s="73"/>
      <x:c r="M63" s="73"/>
      <x:c r="N63" s="73" t="str">
        <x:f>IF(C63="","",MAX(0,K63+M63-L63))</x:f>
      </x:c>
      <x:c r="O63" s="72"/>
      <x:c r="P63" s="60" t="str">
        <x:f>IF(C63="","",IF(N63=0,"정상",IF(N63&gt;O63*10,"MOQ 과잉 확인","정상")))</x:f>
      </x:c>
      <x:c r="Q63" s="58" t="str"/>
      <x:c r="R63" s="60" t="str">
        <x:f>IF(C63="","",IF(Q63="Y",IF(K63&gt;0,"정상","누락"),"정상"))</x:f>
      </x:c>
      <x:c r="S63" s="66" t="str">
        <x:f>IF(C63="","",IF(N63=0,0,ROUNDUP(N63/O63,0)*O63))</x:f>
      </x:c>
      <x:c r="T63" s="66"/>
      <x:c r="U63" s="66" t="str">
        <x:f>IF(C63="","",S63*T63)</x:f>
      </x:c>
    </x:row>
    <x:row r="64">
      <x:c r="A64" s="69" t="str"/>
      <x:c r="B64" s="69" t="str"/>
      <x:c r="C64" s="58" t="str"/>
      <x:c r="D64" s="58" t="str"/>
      <x:c r="E64" s="58" t="str"/>
      <x:c r="F64" s="70"/>
      <x:c r="G64" s="70"/>
      <x:c r="H64" s="71"/>
      <x:c r="I64" s="72"/>
      <x:c r="J64" s="72"/>
      <x:c r="K64" s="73" t="str">
        <x:f>IF(C64="","",F64*G64*H64*I64+J64)</x:f>
      </x:c>
      <x:c r="L64" s="73"/>
      <x:c r="M64" s="73"/>
      <x:c r="N64" s="73" t="str">
        <x:f>IF(C64="","",MAX(0,K64+M64-L64))</x:f>
      </x:c>
      <x:c r="O64" s="72"/>
      <x:c r="P64" s="60" t="str">
        <x:f>IF(C64="","",IF(N64=0,"정상",IF(N64&gt;O64*10,"MOQ 과잉 확인","정상")))</x:f>
      </x:c>
      <x:c r="Q64" s="58" t="str"/>
      <x:c r="R64" s="60" t="str">
        <x:f>IF(C64="","",IF(Q64="Y",IF(K64&gt;0,"정상","누락"),"정상"))</x:f>
      </x:c>
      <x:c r="S64" s="66" t="str">
        <x:f>IF(C64="","",IF(N64=0,0,ROUNDUP(N64/O64,0)*O64))</x:f>
      </x:c>
      <x:c r="T64" s="66"/>
      <x:c r="U64" s="66" t="str">
        <x:f>IF(C64="","",S64*T64)</x:f>
      </x:c>
    </x:row>
    <x:row r="65">
      <x:c r="A65" s="69" t="str"/>
      <x:c r="B65" s="69" t="str"/>
      <x:c r="C65" s="58" t="str"/>
      <x:c r="D65" s="58" t="str"/>
      <x:c r="E65" s="58" t="str"/>
      <x:c r="F65" s="70"/>
      <x:c r="G65" s="70"/>
      <x:c r="H65" s="71"/>
      <x:c r="I65" s="72"/>
      <x:c r="J65" s="72"/>
      <x:c r="K65" s="73" t="str">
        <x:f>IF(C65="","",F65*G65*H65*I65+J65)</x:f>
      </x:c>
      <x:c r="L65" s="73"/>
      <x:c r="M65" s="73"/>
      <x:c r="N65" s="73" t="str">
        <x:f>IF(C65="","",MAX(0,K65+M65-L65))</x:f>
      </x:c>
      <x:c r="O65" s="72"/>
      <x:c r="P65" s="60" t="str">
        <x:f>IF(C65="","",IF(N65=0,"정상",IF(N65&gt;O65*10,"MOQ 과잉 확인","정상")))</x:f>
      </x:c>
      <x:c r="Q65" s="58" t="str"/>
      <x:c r="R65" s="60" t="str">
        <x:f>IF(C65="","",IF(Q65="Y",IF(K65&gt;0,"정상","누락"),"정상"))</x:f>
      </x:c>
      <x:c r="S65" s="66" t="str">
        <x:f>IF(C65="","",IF(N65=0,0,ROUNDUP(N65/O65,0)*O65))</x:f>
      </x:c>
      <x:c r="T65" s="66"/>
      <x:c r="U65" s="66" t="str">
        <x:f>IF(C65="","",S65*T65)</x:f>
      </x:c>
    </x:row>
    <x:row r="66">
      <x:c r="A66" s="69" t="str"/>
      <x:c r="B66" s="69" t="str"/>
      <x:c r="C66" s="58" t="str"/>
      <x:c r="D66" s="58" t="str"/>
      <x:c r="E66" s="58" t="str"/>
      <x:c r="F66" s="70"/>
      <x:c r="G66" s="70"/>
      <x:c r="H66" s="71"/>
      <x:c r="I66" s="72"/>
      <x:c r="J66" s="72"/>
      <x:c r="K66" s="73" t="str">
        <x:f>IF(C66="","",F66*G66*H66*I66+J66)</x:f>
      </x:c>
      <x:c r="L66" s="73"/>
      <x:c r="M66" s="73"/>
      <x:c r="N66" s="73" t="str">
        <x:f>IF(C66="","",MAX(0,K66+M66-L66))</x:f>
      </x:c>
      <x:c r="O66" s="72"/>
      <x:c r="P66" s="60" t="str">
        <x:f>IF(C66="","",IF(N66=0,"정상",IF(N66&gt;O66*10,"MOQ 과잉 확인","정상")))</x:f>
      </x:c>
      <x:c r="Q66" s="58" t="str"/>
      <x:c r="R66" s="60" t="str">
        <x:f>IF(C66="","",IF(Q66="Y",IF(K66&gt;0,"정상","누락"),"정상"))</x:f>
      </x:c>
      <x:c r="S66" s="66" t="str">
        <x:f>IF(C66="","",IF(N66=0,0,ROUNDUP(N66/O66,0)*O66))</x:f>
      </x:c>
      <x:c r="T66" s="66"/>
      <x:c r="U66" s="66" t="str">
        <x:f>IF(C66="","",S66*T66)</x:f>
      </x:c>
    </x:row>
    <x:row r="67">
      <x:c r="A67" s="69" t="str"/>
      <x:c r="B67" s="69" t="str"/>
      <x:c r="C67" s="58" t="str"/>
      <x:c r="D67" s="58" t="str"/>
      <x:c r="E67" s="58" t="str"/>
      <x:c r="F67" s="70"/>
      <x:c r="G67" s="70"/>
      <x:c r="H67" s="71"/>
      <x:c r="I67" s="72"/>
      <x:c r="J67" s="72"/>
      <x:c r="K67" s="73" t="str">
        <x:f>IF(C67="","",F67*G67*H67*I67+J67)</x:f>
      </x:c>
      <x:c r="L67" s="73"/>
      <x:c r="M67" s="73"/>
      <x:c r="N67" s="73" t="str">
        <x:f>IF(C67="","",MAX(0,K67+M67-L67))</x:f>
      </x:c>
      <x:c r="O67" s="72"/>
      <x:c r="P67" s="60" t="str">
        <x:f>IF(C67="","",IF(N67=0,"정상",IF(N67&gt;O67*10,"MOQ 과잉 확인","정상")))</x:f>
      </x:c>
      <x:c r="Q67" s="58" t="str"/>
      <x:c r="R67" s="60" t="str">
        <x:f>IF(C67="","",IF(Q67="Y",IF(K67&gt;0,"정상","누락"),"정상"))</x:f>
      </x:c>
      <x:c r="S67" s="66" t="str">
        <x:f>IF(C67="","",IF(N67=0,0,ROUNDUP(N67/O67,0)*O67))</x:f>
      </x:c>
      <x:c r="T67" s="66"/>
      <x:c r="U67" s="66" t="str">
        <x:f>IF(C67="","",S67*T67)</x:f>
      </x:c>
    </x:row>
    <x:row r="68">
      <x:c r="A68" s="69" t="str"/>
      <x:c r="B68" s="69" t="str"/>
      <x:c r="C68" s="58" t="str"/>
      <x:c r="D68" s="58" t="str"/>
      <x:c r="E68" s="58" t="str"/>
      <x:c r="F68" s="70"/>
      <x:c r="G68" s="70"/>
      <x:c r="H68" s="71"/>
      <x:c r="I68" s="72"/>
      <x:c r="J68" s="72"/>
      <x:c r="K68" s="73" t="str">
        <x:f>IF(C68="","",F68*G68*H68*I68+J68)</x:f>
      </x:c>
      <x:c r="L68" s="73"/>
      <x:c r="M68" s="73"/>
      <x:c r="N68" s="73" t="str">
        <x:f>IF(C68="","",MAX(0,K68+M68-L68))</x:f>
      </x:c>
      <x:c r="O68" s="72"/>
      <x:c r="P68" s="60" t="str">
        <x:f>IF(C68="","",IF(N68=0,"정상",IF(N68&gt;O68*10,"MOQ 과잉 확인","정상")))</x:f>
      </x:c>
      <x:c r="Q68" s="58" t="str"/>
      <x:c r="R68" s="60" t="str">
        <x:f>IF(C68="","",IF(Q68="Y",IF(K68&gt;0,"정상","누락"),"정상"))</x:f>
      </x:c>
      <x:c r="S68" s="66" t="str">
        <x:f>IF(C68="","",IF(N68=0,0,ROUNDUP(N68/O68,0)*O68))</x:f>
      </x:c>
      <x:c r="T68" s="66"/>
      <x:c r="U68" s="66" t="str">
        <x:f>IF(C68="","",S68*T68)</x:f>
      </x:c>
    </x:row>
    <x:row r="69">
      <x:c r="A69" s="69" t="str"/>
      <x:c r="B69" s="69" t="str"/>
      <x:c r="C69" s="58" t="str"/>
      <x:c r="D69" s="58" t="str"/>
      <x:c r="E69" s="58" t="str"/>
      <x:c r="F69" s="70"/>
      <x:c r="G69" s="70"/>
      <x:c r="H69" s="71"/>
      <x:c r="I69" s="72"/>
      <x:c r="J69" s="72"/>
      <x:c r="K69" s="73" t="str">
        <x:f>IF(C69="","",F69*G69*H69*I69+J69)</x:f>
      </x:c>
      <x:c r="L69" s="73"/>
      <x:c r="M69" s="73"/>
      <x:c r="N69" s="73" t="str">
        <x:f>IF(C69="","",MAX(0,K69+M69-L69))</x:f>
      </x:c>
      <x:c r="O69" s="72"/>
      <x:c r="P69" s="60" t="str">
        <x:f>IF(C69="","",IF(N69=0,"정상",IF(N69&gt;O69*10,"MOQ 과잉 확인","정상")))</x:f>
      </x:c>
      <x:c r="Q69" s="58" t="str"/>
      <x:c r="R69" s="60" t="str">
        <x:f>IF(C69="","",IF(Q69="Y",IF(K69&gt;0,"정상","누락"),"정상"))</x:f>
      </x:c>
      <x:c r="S69" s="66" t="str">
        <x:f>IF(C69="","",IF(N69=0,0,ROUNDUP(N69/O69,0)*O69))</x:f>
      </x:c>
      <x:c r="T69" s="66"/>
      <x:c r="U69" s="66" t="str">
        <x:f>IF(C69="","",S69*T69)</x:f>
      </x:c>
    </x:row>
    <x:row r="70">
      <x:c r="A70" s="69" t="str"/>
      <x:c r="B70" s="69" t="str"/>
      <x:c r="C70" s="58" t="str"/>
      <x:c r="D70" s="58" t="str"/>
      <x:c r="E70" s="58" t="str"/>
      <x:c r="F70" s="70"/>
      <x:c r="G70" s="70"/>
      <x:c r="H70" s="71"/>
      <x:c r="I70" s="72"/>
      <x:c r="J70" s="72"/>
      <x:c r="K70" s="73" t="str">
        <x:f>IF(C70="","",F70*G70*H70*I70+J70)</x:f>
      </x:c>
      <x:c r="L70" s="73"/>
      <x:c r="M70" s="73"/>
      <x:c r="N70" s="73" t="str">
        <x:f>IF(C70="","",MAX(0,K70+M70-L70))</x:f>
      </x:c>
      <x:c r="O70" s="72"/>
      <x:c r="P70" s="60" t="str">
        <x:f>IF(C70="","",IF(N70=0,"정상",IF(N70&gt;O70*10,"MOQ 과잉 확인","정상")))</x:f>
      </x:c>
      <x:c r="Q70" s="58" t="str"/>
      <x:c r="R70" s="60" t="str">
        <x:f>IF(C70="","",IF(Q70="Y",IF(K70&gt;0,"정상","누락"),"정상"))</x:f>
      </x:c>
      <x:c r="S70" s="66" t="str">
        <x:f>IF(C70="","",IF(N70=0,0,ROUNDUP(N70/O70,0)*O70))</x:f>
      </x:c>
      <x:c r="T70" s="66"/>
      <x:c r="U70" s="66" t="str">
        <x:f>IF(C70="","",S70*T70)</x:f>
      </x:c>
    </x:row>
    <x:row r="71">
      <x:c r="A71" s="69" t="str"/>
      <x:c r="B71" s="69" t="str"/>
      <x:c r="C71" s="58" t="str"/>
      <x:c r="D71" s="58" t="str"/>
      <x:c r="E71" s="58" t="str"/>
      <x:c r="F71" s="70"/>
      <x:c r="G71" s="70"/>
      <x:c r="H71" s="71"/>
      <x:c r="I71" s="72"/>
      <x:c r="J71" s="72"/>
      <x:c r="K71" s="73" t="str">
        <x:f>IF(C71="","",F71*G71*H71*I71+J71)</x:f>
      </x:c>
      <x:c r="L71" s="73"/>
      <x:c r="M71" s="73"/>
      <x:c r="N71" s="73" t="str">
        <x:f>IF(C71="","",MAX(0,K71+M71-L71))</x:f>
      </x:c>
      <x:c r="O71" s="72"/>
      <x:c r="P71" s="60" t="str">
        <x:f>IF(C71="","",IF(N71=0,"정상",IF(N71&gt;O71*10,"MOQ 과잉 확인","정상")))</x:f>
      </x:c>
      <x:c r="Q71" s="58" t="str"/>
      <x:c r="R71" s="60" t="str">
        <x:f>IF(C71="","",IF(Q71="Y",IF(K71&gt;0,"정상","누락"),"정상"))</x:f>
      </x:c>
      <x:c r="S71" s="66" t="str">
        <x:f>IF(C71="","",IF(N71=0,0,ROUNDUP(N71/O71,0)*O71))</x:f>
      </x:c>
      <x:c r="T71" s="66"/>
      <x:c r="U71" s="66" t="str">
        <x:f>IF(C71="","",S71*T71)</x:f>
      </x:c>
    </x:row>
    <x:row r="72">
      <x:c r="A72" s="69" t="str"/>
      <x:c r="B72" s="69" t="str"/>
      <x:c r="C72" s="58" t="str"/>
      <x:c r="D72" s="58" t="str"/>
      <x:c r="E72" s="58" t="str"/>
      <x:c r="F72" s="70"/>
      <x:c r="G72" s="70"/>
      <x:c r="H72" s="71"/>
      <x:c r="I72" s="72"/>
      <x:c r="J72" s="72"/>
      <x:c r="K72" s="73" t="str">
        <x:f>IF(C72="","",F72*G72*H72*I72+J72)</x:f>
      </x:c>
      <x:c r="L72" s="73"/>
      <x:c r="M72" s="73"/>
      <x:c r="N72" s="73" t="str">
        <x:f>IF(C72="","",MAX(0,K72+M72-L72))</x:f>
      </x:c>
      <x:c r="O72" s="72"/>
      <x:c r="P72" s="60" t="str">
        <x:f>IF(C72="","",IF(N72=0,"정상",IF(N72&gt;O72*10,"MOQ 과잉 확인","정상")))</x:f>
      </x:c>
      <x:c r="Q72" s="58" t="str"/>
      <x:c r="R72" s="60" t="str">
        <x:f>IF(C72="","",IF(Q72="Y",IF(K72&gt;0,"정상","누락"),"정상"))</x:f>
      </x:c>
      <x:c r="S72" s="66" t="str">
        <x:f>IF(C72="","",IF(N72=0,0,ROUNDUP(N72/O72,0)*O72))</x:f>
      </x:c>
      <x:c r="T72" s="66"/>
      <x:c r="U72" s="66" t="str">
        <x:f>IF(C72="","",S72*T72)</x:f>
      </x:c>
    </x:row>
    <x:row r="73">
      <x:c r="A73" s="69" t="str"/>
      <x:c r="B73" s="69" t="str"/>
      <x:c r="C73" s="58" t="str"/>
      <x:c r="D73" s="58" t="str"/>
      <x:c r="E73" s="58" t="str"/>
      <x:c r="F73" s="70"/>
      <x:c r="G73" s="70"/>
      <x:c r="H73" s="71"/>
      <x:c r="I73" s="72"/>
      <x:c r="J73" s="72"/>
      <x:c r="K73" s="73" t="str">
        <x:f>IF(C73="","",F73*G73*H73*I73+J73)</x:f>
      </x:c>
      <x:c r="L73" s="73"/>
      <x:c r="M73" s="73"/>
      <x:c r="N73" s="73" t="str">
        <x:f>IF(C73="","",MAX(0,K73+M73-L73))</x:f>
      </x:c>
      <x:c r="O73" s="72"/>
      <x:c r="P73" s="60" t="str">
        <x:f>IF(C73="","",IF(N73=0,"정상",IF(N73&gt;O73*10,"MOQ 과잉 확인","정상")))</x:f>
      </x:c>
      <x:c r="Q73" s="58" t="str"/>
      <x:c r="R73" s="60" t="str">
        <x:f>IF(C73="","",IF(Q73="Y",IF(K73&gt;0,"정상","누락"),"정상"))</x:f>
      </x:c>
      <x:c r="S73" s="66" t="str">
        <x:f>IF(C73="","",IF(N73=0,0,ROUNDUP(N73/O73,0)*O73))</x:f>
      </x:c>
      <x:c r="T73" s="66"/>
      <x:c r="U73" s="66" t="str">
        <x:f>IF(C73="","",S73*T73)</x:f>
      </x:c>
    </x:row>
    <x:row r="74">
      <x:c r="A74" s="69" t="str"/>
      <x:c r="B74" s="69" t="str"/>
      <x:c r="C74" s="58" t="str"/>
      <x:c r="D74" s="58" t="str"/>
      <x:c r="E74" s="58" t="str"/>
      <x:c r="F74" s="70"/>
      <x:c r="G74" s="70"/>
      <x:c r="H74" s="71"/>
      <x:c r="I74" s="72"/>
      <x:c r="J74" s="72"/>
      <x:c r="K74" s="73" t="str">
        <x:f>IF(C74="","",F74*G74*H74*I74+J74)</x:f>
      </x:c>
      <x:c r="L74" s="73"/>
      <x:c r="M74" s="73"/>
      <x:c r="N74" s="73" t="str">
        <x:f>IF(C74="","",MAX(0,K74+M74-L74))</x:f>
      </x:c>
      <x:c r="O74" s="72"/>
      <x:c r="P74" s="60" t="str">
        <x:f>IF(C74="","",IF(N74=0,"정상",IF(N74&gt;O74*10,"MOQ 과잉 확인","정상")))</x:f>
      </x:c>
      <x:c r="Q74" s="58" t="str"/>
      <x:c r="R74" s="60" t="str">
        <x:f>IF(C74="","",IF(Q74="Y",IF(K74&gt;0,"정상","누락"),"정상"))</x:f>
      </x:c>
      <x:c r="S74" s="66" t="str">
        <x:f>IF(C74="","",IF(N74=0,0,ROUNDUP(N74/O74,0)*O74))</x:f>
      </x:c>
      <x:c r="T74" s="66"/>
      <x:c r="U74" s="66" t="str">
        <x:f>IF(C74="","",S74*T74)</x:f>
      </x:c>
    </x:row>
    <x:row r="75">
      <x:c r="A75" s="69" t="str"/>
      <x:c r="B75" s="69" t="str"/>
      <x:c r="C75" s="58" t="str"/>
      <x:c r="D75" s="58" t="str"/>
      <x:c r="E75" s="58" t="str"/>
      <x:c r="F75" s="70"/>
      <x:c r="G75" s="70"/>
      <x:c r="H75" s="71"/>
      <x:c r="I75" s="72"/>
      <x:c r="J75" s="72"/>
      <x:c r="K75" s="73" t="str">
        <x:f>IF(C75="","",F75*G75*H75*I75+J75)</x:f>
      </x:c>
      <x:c r="L75" s="73"/>
      <x:c r="M75" s="73"/>
      <x:c r="N75" s="73" t="str">
        <x:f>IF(C75="","",MAX(0,K75+M75-L75))</x:f>
      </x:c>
      <x:c r="O75" s="72"/>
      <x:c r="P75" s="60" t="str">
        <x:f>IF(C75="","",IF(N75=0,"정상",IF(N75&gt;O75*10,"MOQ 과잉 확인","정상")))</x:f>
      </x:c>
      <x:c r="Q75" s="58" t="str"/>
      <x:c r="R75" s="60" t="str">
        <x:f>IF(C75="","",IF(Q75="Y",IF(K75&gt;0,"정상","누락"),"정상"))</x:f>
      </x:c>
      <x:c r="S75" s="66" t="str">
        <x:f>IF(C75="","",IF(N75=0,0,ROUNDUP(N75/O75,0)*O75))</x:f>
      </x:c>
      <x:c r="T75" s="66"/>
      <x:c r="U75" s="66" t="str">
        <x:f>IF(C75="","",S75*T75)</x:f>
      </x:c>
    </x:row>
    <x:row r="76">
      <x:c r="A76" s="69" t="str"/>
      <x:c r="B76" s="69" t="str"/>
      <x:c r="C76" s="58" t="str"/>
      <x:c r="D76" s="58" t="str"/>
      <x:c r="E76" s="58" t="str"/>
      <x:c r="F76" s="70"/>
      <x:c r="G76" s="70"/>
      <x:c r="H76" s="71"/>
      <x:c r="I76" s="72"/>
      <x:c r="J76" s="72"/>
      <x:c r="K76" s="73" t="str">
        <x:f>IF(C76="","",F76*G76*H76*I76+J76)</x:f>
      </x:c>
      <x:c r="L76" s="73"/>
      <x:c r="M76" s="73"/>
      <x:c r="N76" s="73" t="str">
        <x:f>IF(C76="","",MAX(0,K76+M76-L76))</x:f>
      </x:c>
      <x:c r="O76" s="72"/>
      <x:c r="P76" s="60" t="str">
        <x:f>IF(C76="","",IF(N76=0,"정상",IF(N76&gt;O76*10,"MOQ 과잉 확인","정상")))</x:f>
      </x:c>
      <x:c r="Q76" s="58" t="str"/>
      <x:c r="R76" s="60" t="str">
        <x:f>IF(C76="","",IF(Q76="Y",IF(K76&gt;0,"정상","누락"),"정상"))</x:f>
      </x:c>
      <x:c r="S76" s="66" t="str">
        <x:f>IF(C76="","",IF(N76=0,0,ROUNDUP(N76/O76,0)*O76))</x:f>
      </x:c>
      <x:c r="T76" s="66"/>
      <x:c r="U76" s="66" t="str">
        <x:f>IF(C76="","",S76*T76)</x:f>
      </x:c>
    </x:row>
    <x:row r="77">
      <x:c r="A77" s="69" t="str"/>
      <x:c r="B77" s="69" t="str"/>
      <x:c r="C77" s="58" t="str"/>
      <x:c r="D77" s="58" t="str"/>
      <x:c r="E77" s="58" t="str"/>
      <x:c r="F77" s="70"/>
      <x:c r="G77" s="70"/>
      <x:c r="H77" s="71"/>
      <x:c r="I77" s="72"/>
      <x:c r="J77" s="72"/>
      <x:c r="K77" s="73" t="str">
        <x:f>IF(C77="","",F77*G77*H77*I77+J77)</x:f>
      </x:c>
      <x:c r="L77" s="73"/>
      <x:c r="M77" s="73"/>
      <x:c r="N77" s="73" t="str">
        <x:f>IF(C77="","",MAX(0,K77+M77-L77))</x:f>
      </x:c>
      <x:c r="O77" s="72"/>
      <x:c r="P77" s="60" t="str">
        <x:f>IF(C77="","",IF(N77=0,"정상",IF(N77&gt;O77*10,"MOQ 과잉 확인","정상")))</x:f>
      </x:c>
      <x:c r="Q77" s="58" t="str"/>
      <x:c r="R77" s="60" t="str">
        <x:f>IF(C77="","",IF(Q77="Y",IF(K77&gt;0,"정상","누락"),"정상"))</x:f>
      </x:c>
      <x:c r="S77" s="66" t="str">
        <x:f>IF(C77="","",IF(N77=0,0,ROUNDUP(N77/O77,0)*O77))</x:f>
      </x:c>
      <x:c r="T77" s="66"/>
      <x:c r="U77" s="66" t="str">
        <x:f>IF(C77="","",S77*T77)</x:f>
      </x:c>
    </x:row>
    <x:row r="78">
      <x:c r="A78" s="69" t="str"/>
      <x:c r="B78" s="69" t="str"/>
      <x:c r="C78" s="58" t="str"/>
      <x:c r="D78" s="58" t="str"/>
      <x:c r="E78" s="58" t="str"/>
      <x:c r="F78" s="70"/>
      <x:c r="G78" s="70"/>
      <x:c r="H78" s="71"/>
      <x:c r="I78" s="72"/>
      <x:c r="J78" s="72"/>
      <x:c r="K78" s="73" t="str">
        <x:f>IF(C78="","",F78*G78*H78*I78+J78)</x:f>
      </x:c>
      <x:c r="L78" s="73"/>
      <x:c r="M78" s="73"/>
      <x:c r="N78" s="73" t="str">
        <x:f>IF(C78="","",MAX(0,K78+M78-L78))</x:f>
      </x:c>
      <x:c r="O78" s="72"/>
      <x:c r="P78" s="60" t="str">
        <x:f>IF(C78="","",IF(N78=0,"정상",IF(N78&gt;O78*10,"MOQ 과잉 확인","정상")))</x:f>
      </x:c>
      <x:c r="Q78" s="58" t="str"/>
      <x:c r="R78" s="60" t="str">
        <x:f>IF(C78="","",IF(Q78="Y",IF(K78&gt;0,"정상","누락"),"정상"))</x:f>
      </x:c>
      <x:c r="S78" s="66" t="str">
        <x:f>IF(C78="","",IF(N78=0,0,ROUNDUP(N78/O78,0)*O78))</x:f>
      </x:c>
      <x:c r="T78" s="66"/>
      <x:c r="U78" s="66" t="str">
        <x:f>IF(C78="","",S78*T78)</x:f>
      </x:c>
    </x:row>
    <x:row r="79">
      <x:c r="A79" s="69" t="str"/>
      <x:c r="B79" s="69" t="str"/>
      <x:c r="C79" s="58" t="str"/>
      <x:c r="D79" s="58" t="str"/>
      <x:c r="E79" s="58" t="str"/>
      <x:c r="F79" s="70"/>
      <x:c r="G79" s="70"/>
      <x:c r="H79" s="71"/>
      <x:c r="I79" s="72"/>
      <x:c r="J79" s="72"/>
      <x:c r="K79" s="73" t="str">
        <x:f>IF(C79="","",F79*G79*H79*I79+J79)</x:f>
      </x:c>
      <x:c r="L79" s="73"/>
      <x:c r="M79" s="73"/>
      <x:c r="N79" s="73" t="str">
        <x:f>IF(C79="","",MAX(0,K79+M79-L79))</x:f>
      </x:c>
      <x:c r="O79" s="72"/>
      <x:c r="P79" s="60" t="str">
        <x:f>IF(C79="","",IF(N79=0,"정상",IF(N79&gt;O79*10,"MOQ 과잉 확인","정상")))</x:f>
      </x:c>
      <x:c r="Q79" s="58" t="str"/>
      <x:c r="R79" s="60" t="str">
        <x:f>IF(C79="","",IF(Q79="Y",IF(K79&gt;0,"정상","누락"),"정상"))</x:f>
      </x:c>
      <x:c r="S79" s="66" t="str">
        <x:f>IF(C79="","",IF(N79=0,0,ROUNDUP(N79/O79,0)*O79))</x:f>
      </x:c>
      <x:c r="T79" s="66"/>
      <x:c r="U79" s="66" t="str">
        <x:f>IF(C79="","",S79*T79)</x:f>
      </x:c>
    </x:row>
    <x:row r="80">
      <x:c r="A80" s="69" t="str"/>
      <x:c r="B80" s="69" t="str"/>
      <x:c r="C80" s="58" t="str"/>
      <x:c r="D80" s="58" t="str"/>
      <x:c r="E80" s="58" t="str"/>
      <x:c r="F80" s="70"/>
      <x:c r="G80" s="70"/>
      <x:c r="H80" s="71"/>
      <x:c r="I80" s="72"/>
      <x:c r="J80" s="72"/>
      <x:c r="K80" s="73" t="str">
        <x:f>IF(C80="","",F80*G80*H80*I80+J80)</x:f>
      </x:c>
      <x:c r="L80" s="73"/>
      <x:c r="M80" s="73"/>
      <x:c r="N80" s="73" t="str">
        <x:f>IF(C80="","",MAX(0,K80+M80-L80))</x:f>
      </x:c>
      <x:c r="O80" s="72"/>
      <x:c r="P80" s="60" t="str">
        <x:f>IF(C80="","",IF(N80=0,"정상",IF(N80&gt;O80*10,"MOQ 과잉 확인","정상")))</x:f>
      </x:c>
      <x:c r="Q80" s="58" t="str"/>
      <x:c r="R80" s="60" t="str">
        <x:f>IF(C80="","",IF(Q80="Y",IF(K80&gt;0,"정상","누락"),"정상"))</x:f>
      </x:c>
      <x:c r="S80" s="66" t="str">
        <x:f>IF(C80="","",IF(N80=0,0,ROUNDUP(N80/O80,0)*O80))</x:f>
      </x:c>
      <x:c r="T80" s="66"/>
      <x:c r="U80" s="66" t="str">
        <x:f>IF(C80="","",S80*T80)</x:f>
      </x:c>
    </x:row>
    <x:row r="81">
      <x:c r="A81" s="69" t="str"/>
      <x:c r="B81" s="69" t="str"/>
      <x:c r="C81" s="58" t="str"/>
      <x:c r="D81" s="58" t="str"/>
      <x:c r="E81" s="58" t="str"/>
      <x:c r="F81" s="70"/>
      <x:c r="G81" s="70"/>
      <x:c r="H81" s="71"/>
      <x:c r="I81" s="72"/>
      <x:c r="J81" s="72"/>
      <x:c r="K81" s="73" t="str">
        <x:f>IF(C81="","",F81*G81*H81*I81+J81)</x:f>
      </x:c>
      <x:c r="L81" s="73"/>
      <x:c r="M81" s="73"/>
      <x:c r="N81" s="73" t="str">
        <x:f>IF(C81="","",MAX(0,K81+M81-L81))</x:f>
      </x:c>
      <x:c r="O81" s="72"/>
      <x:c r="P81" s="60" t="str">
        <x:f>IF(C81="","",IF(N81=0,"정상",IF(N81&gt;O81*10,"MOQ 과잉 확인","정상")))</x:f>
      </x:c>
      <x:c r="Q81" s="58" t="str"/>
      <x:c r="R81" s="60" t="str">
        <x:f>IF(C81="","",IF(Q81="Y",IF(K81&gt;0,"정상","누락"),"정상"))</x:f>
      </x:c>
      <x:c r="S81" s="66" t="str">
        <x:f>IF(C81="","",IF(N81=0,0,ROUNDUP(N81/O81,0)*O81))</x:f>
      </x:c>
      <x:c r="T81" s="66"/>
      <x:c r="U81" s="66" t="str">
        <x:f>IF(C81="","",S81*T81)</x:f>
      </x:c>
    </x:row>
    <x:row r="82">
      <x:c r="A82" s="69" t="str"/>
      <x:c r="B82" s="69" t="str"/>
      <x:c r="C82" s="58" t="str"/>
      <x:c r="D82" s="58" t="str"/>
      <x:c r="E82" s="58" t="str"/>
      <x:c r="F82" s="70"/>
      <x:c r="G82" s="70"/>
      <x:c r="H82" s="71"/>
      <x:c r="I82" s="72"/>
      <x:c r="J82" s="72"/>
      <x:c r="K82" s="73" t="str">
        <x:f>IF(C82="","",F82*G82*H82*I82+J82)</x:f>
      </x:c>
      <x:c r="L82" s="73"/>
      <x:c r="M82" s="73"/>
      <x:c r="N82" s="73" t="str">
        <x:f>IF(C82="","",MAX(0,K82+M82-L82))</x:f>
      </x:c>
      <x:c r="O82" s="72"/>
      <x:c r="P82" s="60" t="str">
        <x:f>IF(C82="","",IF(N82=0,"정상",IF(N82&gt;O82*10,"MOQ 과잉 확인","정상")))</x:f>
      </x:c>
      <x:c r="Q82" s="58" t="str"/>
      <x:c r="R82" s="60" t="str">
        <x:f>IF(C82="","",IF(Q82="Y",IF(K82&gt;0,"정상","누락"),"정상"))</x:f>
      </x:c>
      <x:c r="S82" s="66" t="str">
        <x:f>IF(C82="","",IF(N82=0,0,ROUNDUP(N82/O82,0)*O82))</x:f>
      </x:c>
      <x:c r="T82" s="66"/>
      <x:c r="U82" s="66" t="str">
        <x:f>IF(C82="","",S82*T82)</x:f>
      </x:c>
    </x:row>
    <x:row r="83">
      <x:c r="A83" s="69" t="str"/>
      <x:c r="B83" s="69" t="str"/>
      <x:c r="C83" s="58" t="str"/>
      <x:c r="D83" s="58" t="str"/>
      <x:c r="E83" s="58" t="str"/>
      <x:c r="F83" s="70"/>
      <x:c r="G83" s="70"/>
      <x:c r="H83" s="71"/>
      <x:c r="I83" s="72"/>
      <x:c r="J83" s="72"/>
      <x:c r="K83" s="73" t="str">
        <x:f>IF(C83="","",F83*G83*H83*I83+J83)</x:f>
      </x:c>
      <x:c r="L83" s="73"/>
      <x:c r="M83" s="73"/>
      <x:c r="N83" s="73" t="str">
        <x:f>IF(C83="","",MAX(0,K83+M83-L83))</x:f>
      </x:c>
      <x:c r="O83" s="72"/>
      <x:c r="P83" s="60" t="str">
        <x:f>IF(C83="","",IF(N83=0,"정상",IF(N83&gt;O83*10,"MOQ 과잉 확인","정상")))</x:f>
      </x:c>
      <x:c r="Q83" s="58" t="str"/>
      <x:c r="R83" s="60" t="str">
        <x:f>IF(C83="","",IF(Q83="Y",IF(K83&gt;0,"정상","누락"),"정상"))</x:f>
      </x:c>
      <x:c r="S83" s="66" t="str">
        <x:f>IF(C83="","",IF(N83=0,0,ROUNDUP(N83/O83,0)*O83))</x:f>
      </x:c>
      <x:c r="T83" s="66"/>
      <x:c r="U83" s="66" t="str">
        <x:f>IF(C83="","",S83*T83)</x:f>
      </x:c>
    </x:row>
    <x:row r="84">
      <x:c r="A84" s="69" t="str"/>
      <x:c r="B84" s="69" t="str"/>
      <x:c r="C84" s="58" t="str"/>
      <x:c r="D84" s="58" t="str"/>
      <x:c r="E84" s="58" t="str"/>
      <x:c r="F84" s="70"/>
      <x:c r="G84" s="70"/>
      <x:c r="H84" s="71"/>
      <x:c r="I84" s="72"/>
      <x:c r="J84" s="72"/>
      <x:c r="K84" s="73" t="str">
        <x:f>IF(C84="","",F84*G84*H84*I84+J84)</x:f>
      </x:c>
      <x:c r="L84" s="73"/>
      <x:c r="M84" s="73"/>
      <x:c r="N84" s="73" t="str">
        <x:f>IF(C84="","",MAX(0,K84+M84-L84))</x:f>
      </x:c>
      <x:c r="O84" s="72"/>
      <x:c r="P84" s="60" t="str">
        <x:f>IF(C84="","",IF(N84=0,"정상",IF(N84&gt;O84*10,"MOQ 과잉 확인","정상")))</x:f>
      </x:c>
      <x:c r="Q84" s="58" t="str"/>
      <x:c r="R84" s="60" t="str">
        <x:f>IF(C84="","",IF(Q84="Y",IF(K84&gt;0,"정상","누락"),"정상"))</x:f>
      </x:c>
      <x:c r="S84" s="66" t="str">
        <x:f>IF(C84="","",IF(N84=0,0,ROUNDUP(N84/O84,0)*O84))</x:f>
      </x:c>
      <x:c r="T84" s="66"/>
      <x:c r="U84" s="66" t="str">
        <x:f>IF(C84="","",S84*T84)</x:f>
      </x:c>
    </x:row>
    <x:row r="85">
      <x:c r="A85" s="69" t="str"/>
      <x:c r="B85" s="69" t="str"/>
      <x:c r="C85" s="58" t="str"/>
      <x:c r="D85" s="58" t="str"/>
      <x:c r="E85" s="58" t="str"/>
      <x:c r="F85" s="70"/>
      <x:c r="G85" s="70"/>
      <x:c r="H85" s="71"/>
      <x:c r="I85" s="72"/>
      <x:c r="J85" s="72"/>
      <x:c r="K85" s="73" t="str">
        <x:f>IF(C85="","",F85*G85*H85*I85+J85)</x:f>
      </x:c>
      <x:c r="L85" s="73"/>
      <x:c r="M85" s="73"/>
      <x:c r="N85" s="73" t="str">
        <x:f>IF(C85="","",MAX(0,K85+M85-L85))</x:f>
      </x:c>
      <x:c r="O85" s="72"/>
      <x:c r="P85" s="60" t="str">
        <x:f>IF(C85="","",IF(N85=0,"정상",IF(N85&gt;O85*10,"MOQ 과잉 확인","정상")))</x:f>
      </x:c>
      <x:c r="Q85" s="58" t="str"/>
      <x:c r="R85" s="60" t="str">
        <x:f>IF(C85="","",IF(Q85="Y",IF(K85&gt;0,"정상","누락"),"정상"))</x:f>
      </x:c>
      <x:c r="S85" s="66" t="str">
        <x:f>IF(C85="","",IF(N85=0,0,ROUNDUP(N85/O85,0)*O85))</x:f>
      </x:c>
      <x:c r="T85" s="66"/>
      <x:c r="U85" s="66" t="str">
        <x:f>IF(C85="","",S85*T85)</x:f>
      </x:c>
    </x:row>
    <x:row r="86">
      <x:c r="A86" s="69" t="str"/>
      <x:c r="B86" s="69" t="str"/>
      <x:c r="C86" s="58" t="str"/>
      <x:c r="D86" s="58" t="str"/>
      <x:c r="E86" s="58" t="str"/>
      <x:c r="F86" s="70"/>
      <x:c r="G86" s="70"/>
      <x:c r="H86" s="71"/>
      <x:c r="I86" s="72"/>
      <x:c r="J86" s="72"/>
      <x:c r="K86" s="73" t="str">
        <x:f>IF(C86="","",F86*G86*H86*I86+J86)</x:f>
      </x:c>
      <x:c r="L86" s="73"/>
      <x:c r="M86" s="73"/>
      <x:c r="N86" s="73" t="str">
        <x:f>IF(C86="","",MAX(0,K86+M86-L86))</x:f>
      </x:c>
      <x:c r="O86" s="72"/>
      <x:c r="P86" s="60" t="str">
        <x:f>IF(C86="","",IF(N86=0,"정상",IF(N86&gt;O86*10,"MOQ 과잉 확인","정상")))</x:f>
      </x:c>
      <x:c r="Q86" s="58" t="str"/>
      <x:c r="R86" s="60" t="str">
        <x:f>IF(C86="","",IF(Q86="Y",IF(K86&gt;0,"정상","누락"),"정상"))</x:f>
      </x:c>
      <x:c r="S86" s="66" t="str">
        <x:f>IF(C86="","",IF(N86=0,0,ROUNDUP(N86/O86,0)*O86))</x:f>
      </x:c>
      <x:c r="T86" s="66"/>
      <x:c r="U86" s="66" t="str">
        <x:f>IF(C86="","",S86*T86)</x:f>
      </x:c>
    </x:row>
    <x:row r="87">
      <x:c r="A87" s="69" t="str"/>
      <x:c r="B87" s="69" t="str"/>
      <x:c r="C87" s="58" t="str"/>
      <x:c r="D87" s="58" t="str"/>
      <x:c r="E87" s="58" t="str"/>
      <x:c r="F87" s="70"/>
      <x:c r="G87" s="70"/>
      <x:c r="H87" s="71"/>
      <x:c r="I87" s="72"/>
      <x:c r="J87" s="72"/>
      <x:c r="K87" s="73" t="str">
        <x:f>IF(C87="","",F87*G87*H87*I87+J87)</x:f>
      </x:c>
      <x:c r="L87" s="73"/>
      <x:c r="M87" s="73"/>
      <x:c r="N87" s="73" t="str">
        <x:f>IF(C87="","",MAX(0,K87+M87-L87))</x:f>
      </x:c>
      <x:c r="O87" s="72"/>
      <x:c r="P87" s="60" t="str">
        <x:f>IF(C87="","",IF(N87=0,"정상",IF(N87&gt;O87*10,"MOQ 과잉 확인","정상")))</x:f>
      </x:c>
      <x:c r="Q87" s="58" t="str"/>
      <x:c r="R87" s="60" t="str">
        <x:f>IF(C87="","",IF(Q87="Y",IF(K87&gt;0,"정상","누락"),"정상"))</x:f>
      </x:c>
      <x:c r="S87" s="66" t="str">
        <x:f>IF(C87="","",IF(N87=0,0,ROUNDUP(N87/O87,0)*O87))</x:f>
      </x:c>
      <x:c r="T87" s="66"/>
      <x:c r="U87" s="66" t="str">
        <x:f>IF(C87="","",S87*T87)</x:f>
      </x:c>
    </x:row>
    <x:row r="88">
      <x:c r="A88" s="69" t="str"/>
      <x:c r="B88" s="69" t="str"/>
      <x:c r="C88" s="58" t="str"/>
      <x:c r="D88" s="58" t="str"/>
      <x:c r="E88" s="58" t="str"/>
      <x:c r="F88" s="70"/>
      <x:c r="G88" s="70"/>
      <x:c r="H88" s="71"/>
      <x:c r="I88" s="72"/>
      <x:c r="J88" s="72"/>
      <x:c r="K88" s="73" t="str">
        <x:f>IF(C88="","",F88*G88*H88*I88+J88)</x:f>
      </x:c>
      <x:c r="L88" s="73"/>
      <x:c r="M88" s="73"/>
      <x:c r="N88" s="73" t="str">
        <x:f>IF(C88="","",MAX(0,K88+M88-L88))</x:f>
      </x:c>
      <x:c r="O88" s="72"/>
      <x:c r="P88" s="60" t="str">
        <x:f>IF(C88="","",IF(N88=0,"정상",IF(N88&gt;O88*10,"MOQ 과잉 확인","정상")))</x:f>
      </x:c>
      <x:c r="Q88" s="58" t="str"/>
      <x:c r="R88" s="60" t="str">
        <x:f>IF(C88="","",IF(Q88="Y",IF(K88&gt;0,"정상","누락"),"정상"))</x:f>
      </x:c>
      <x:c r="S88" s="66" t="str">
        <x:f>IF(C88="","",IF(N88=0,0,ROUNDUP(N88/O88,0)*O88))</x:f>
      </x:c>
      <x:c r="T88" s="66"/>
      <x:c r="U88" s="66" t="str">
        <x:f>IF(C88="","",S88*T88)</x:f>
      </x:c>
    </x:row>
    <x:row r="89">
      <x:c r="A89" s="69" t="str"/>
      <x:c r="B89" s="69" t="str"/>
      <x:c r="C89" s="58" t="str"/>
      <x:c r="D89" s="58" t="str"/>
      <x:c r="E89" s="58" t="str"/>
      <x:c r="F89" s="70"/>
      <x:c r="G89" s="70"/>
      <x:c r="H89" s="71"/>
      <x:c r="I89" s="72"/>
      <x:c r="J89" s="72"/>
      <x:c r="K89" s="73" t="str">
        <x:f>IF(C89="","",F89*G89*H89*I89+J89)</x:f>
      </x:c>
      <x:c r="L89" s="73"/>
      <x:c r="M89" s="73"/>
      <x:c r="N89" s="73" t="str">
        <x:f>IF(C89="","",MAX(0,K89+M89-L89))</x:f>
      </x:c>
      <x:c r="O89" s="72"/>
      <x:c r="P89" s="60" t="str">
        <x:f>IF(C89="","",IF(N89=0,"정상",IF(N89&gt;O89*10,"MOQ 과잉 확인","정상")))</x:f>
      </x:c>
      <x:c r="Q89" s="58" t="str"/>
      <x:c r="R89" s="60" t="str">
        <x:f>IF(C89="","",IF(Q89="Y",IF(K89&gt;0,"정상","누락"),"정상"))</x:f>
      </x:c>
      <x:c r="S89" s="66" t="str">
        <x:f>IF(C89="","",IF(N89=0,0,ROUNDUP(N89/O89,0)*O89))</x:f>
      </x:c>
      <x:c r="T89" s="66"/>
      <x:c r="U89" s="66" t="str">
        <x:f>IF(C89="","",S89*T89)</x:f>
      </x:c>
    </x:row>
    <x:row r="90">
      <x:c r="A90" s="69" t="str"/>
      <x:c r="B90" s="69" t="str"/>
      <x:c r="C90" s="58" t="str"/>
      <x:c r="D90" s="58" t="str"/>
      <x:c r="E90" s="58" t="str"/>
      <x:c r="F90" s="70"/>
      <x:c r="G90" s="70"/>
      <x:c r="H90" s="71"/>
      <x:c r="I90" s="72"/>
      <x:c r="J90" s="72"/>
      <x:c r="K90" s="73" t="str">
        <x:f>IF(C90="","",F90*G90*H90*I90+J90)</x:f>
      </x:c>
      <x:c r="L90" s="73"/>
      <x:c r="M90" s="73"/>
      <x:c r="N90" s="73" t="str">
        <x:f>IF(C90="","",MAX(0,K90+M90-L90))</x:f>
      </x:c>
      <x:c r="O90" s="72"/>
      <x:c r="P90" s="60" t="str">
        <x:f>IF(C90="","",IF(N90=0,"정상",IF(N90&gt;O90*10,"MOQ 과잉 확인","정상")))</x:f>
      </x:c>
      <x:c r="Q90" s="58" t="str"/>
      <x:c r="R90" s="60" t="str">
        <x:f>IF(C90="","",IF(Q90="Y",IF(K90&gt;0,"정상","누락"),"정상"))</x:f>
      </x:c>
      <x:c r="S90" s="66" t="str">
        <x:f>IF(C90="","",IF(N90=0,0,ROUNDUP(N90/O90,0)*O90))</x:f>
      </x:c>
      <x:c r="T90" s="66"/>
      <x:c r="U90" s="66" t="str">
        <x:f>IF(C90="","",S90*T90)</x:f>
      </x:c>
    </x:row>
    <x:row r="91">
      <x:c r="A91" s="69" t="str"/>
      <x:c r="B91" s="69" t="str"/>
      <x:c r="C91" s="58" t="str"/>
      <x:c r="D91" s="58" t="str"/>
      <x:c r="E91" s="58" t="str"/>
      <x:c r="F91" s="70"/>
      <x:c r="G91" s="70"/>
      <x:c r="H91" s="71"/>
      <x:c r="I91" s="72"/>
      <x:c r="J91" s="72"/>
      <x:c r="K91" s="73" t="str">
        <x:f>IF(C91="","",F91*G91*H91*I91+J91)</x:f>
      </x:c>
      <x:c r="L91" s="73"/>
      <x:c r="M91" s="73"/>
      <x:c r="N91" s="73" t="str">
        <x:f>IF(C91="","",MAX(0,K91+M91-L91))</x:f>
      </x:c>
      <x:c r="O91" s="72"/>
      <x:c r="P91" s="60" t="str">
        <x:f>IF(C91="","",IF(N91=0,"정상",IF(N91&gt;O91*10,"MOQ 과잉 확인","정상")))</x:f>
      </x:c>
      <x:c r="Q91" s="58" t="str"/>
      <x:c r="R91" s="60" t="str">
        <x:f>IF(C91="","",IF(Q91="Y",IF(K91&gt;0,"정상","누락"),"정상"))</x:f>
      </x:c>
      <x:c r="S91" s="66" t="str">
        <x:f>IF(C91="","",IF(N91=0,0,ROUNDUP(N91/O91,0)*O91))</x:f>
      </x:c>
      <x:c r="T91" s="66"/>
      <x:c r="U91" s="66" t="str">
        <x:f>IF(C91="","",S91*T91)</x:f>
      </x:c>
    </x:row>
    <x:row r="92">
      <x:c r="A92" s="69" t="str"/>
      <x:c r="B92" s="69" t="str"/>
      <x:c r="C92" s="58" t="str"/>
      <x:c r="D92" s="58" t="str"/>
      <x:c r="E92" s="58" t="str"/>
      <x:c r="F92" s="70"/>
      <x:c r="G92" s="70"/>
      <x:c r="H92" s="71"/>
      <x:c r="I92" s="72"/>
      <x:c r="J92" s="72"/>
      <x:c r="K92" s="73" t="str">
        <x:f>IF(C92="","",F92*G92*H92*I92+J92)</x:f>
      </x:c>
      <x:c r="L92" s="73"/>
      <x:c r="M92" s="73"/>
      <x:c r="N92" s="73" t="str">
        <x:f>IF(C92="","",MAX(0,K92+M92-L92))</x:f>
      </x:c>
      <x:c r="O92" s="72"/>
      <x:c r="P92" s="60" t="str">
        <x:f>IF(C92="","",IF(N92=0,"정상",IF(N92&gt;O92*10,"MOQ 과잉 확인","정상")))</x:f>
      </x:c>
      <x:c r="Q92" s="58" t="str"/>
      <x:c r="R92" s="60" t="str">
        <x:f>IF(C92="","",IF(Q92="Y",IF(K92&gt;0,"정상","누락"),"정상"))</x:f>
      </x:c>
      <x:c r="S92" s="66" t="str">
        <x:f>IF(C92="","",IF(N92=0,0,ROUNDUP(N92/O92,0)*O92))</x:f>
      </x:c>
      <x:c r="T92" s="66"/>
      <x:c r="U92" s="66" t="str">
        <x:f>IF(C92="","",S92*T92)</x:f>
      </x:c>
    </x:row>
    <x:row r="93">
      <x:c r="A93" s="69" t="str"/>
      <x:c r="B93" s="69" t="str"/>
      <x:c r="C93" s="58" t="str"/>
      <x:c r="D93" s="58" t="str"/>
      <x:c r="E93" s="58" t="str"/>
      <x:c r="F93" s="70"/>
      <x:c r="G93" s="70"/>
      <x:c r="H93" s="71"/>
      <x:c r="I93" s="72"/>
      <x:c r="J93" s="72"/>
      <x:c r="K93" s="73" t="str">
        <x:f>IF(C93="","",F93*G93*H93*I93+J93)</x:f>
      </x:c>
      <x:c r="L93" s="73"/>
      <x:c r="M93" s="73"/>
      <x:c r="N93" s="73" t="str">
        <x:f>IF(C93="","",MAX(0,K93+M93-L93))</x:f>
      </x:c>
      <x:c r="O93" s="72"/>
      <x:c r="P93" s="60" t="str">
        <x:f>IF(C93="","",IF(N93=0,"정상",IF(N93&gt;O93*10,"MOQ 과잉 확인","정상")))</x:f>
      </x:c>
      <x:c r="Q93" s="58" t="str"/>
      <x:c r="R93" s="60" t="str">
        <x:f>IF(C93="","",IF(Q93="Y",IF(K93&gt;0,"정상","누락"),"정상"))</x:f>
      </x:c>
      <x:c r="S93" s="66" t="str">
        <x:f>IF(C93="","",IF(N93=0,0,ROUNDUP(N93/O93,0)*O93))</x:f>
      </x:c>
      <x:c r="T93" s="66"/>
      <x:c r="U93" s="66" t="str">
        <x:f>IF(C93="","",S93*T93)</x:f>
      </x:c>
    </x:row>
    <x:row r="94">
      <x:c r="A94" s="69" t="str"/>
      <x:c r="B94" s="69" t="str"/>
      <x:c r="C94" s="58" t="str"/>
      <x:c r="D94" s="58" t="str"/>
      <x:c r="E94" s="58" t="str"/>
      <x:c r="F94" s="70"/>
      <x:c r="G94" s="70"/>
      <x:c r="H94" s="71"/>
      <x:c r="I94" s="72"/>
      <x:c r="J94" s="72"/>
      <x:c r="K94" s="73" t="str">
        <x:f>IF(C94="","",F94*G94*H94*I94+J94)</x:f>
      </x:c>
      <x:c r="L94" s="73"/>
      <x:c r="M94" s="73"/>
      <x:c r="N94" s="73" t="str">
        <x:f>IF(C94="","",MAX(0,K94+M94-L94))</x:f>
      </x:c>
      <x:c r="O94" s="72"/>
      <x:c r="P94" s="60" t="str">
        <x:f>IF(C94="","",IF(N94=0,"정상",IF(N94&gt;O94*10,"MOQ 과잉 확인","정상")))</x:f>
      </x:c>
      <x:c r="Q94" s="58" t="str"/>
      <x:c r="R94" s="60" t="str">
        <x:f>IF(C94="","",IF(Q94="Y",IF(K94&gt;0,"정상","누락"),"정상"))</x:f>
      </x:c>
      <x:c r="S94" s="66" t="str">
        <x:f>IF(C94="","",IF(N94=0,0,ROUNDUP(N94/O94,0)*O94))</x:f>
      </x:c>
      <x:c r="T94" s="66"/>
      <x:c r="U94" s="66" t="str">
        <x:f>IF(C94="","",S94*T94)</x:f>
      </x:c>
    </x:row>
    <x:row r="95">
      <x:c r="A95" s="69" t="str"/>
      <x:c r="B95" s="69" t="str"/>
      <x:c r="C95" s="58" t="str"/>
      <x:c r="D95" s="58" t="str"/>
      <x:c r="E95" s="58" t="str"/>
      <x:c r="F95" s="70"/>
      <x:c r="G95" s="70"/>
      <x:c r="H95" s="71"/>
      <x:c r="I95" s="72"/>
      <x:c r="J95" s="72"/>
      <x:c r="K95" s="73" t="str">
        <x:f>IF(C95="","",F95*G95*H95*I95+J95)</x:f>
      </x:c>
      <x:c r="L95" s="73"/>
      <x:c r="M95" s="73"/>
      <x:c r="N95" s="73" t="str">
        <x:f>IF(C95="","",MAX(0,K95+M95-L95))</x:f>
      </x:c>
      <x:c r="O95" s="72"/>
      <x:c r="P95" s="60" t="str">
        <x:f>IF(C95="","",IF(N95=0,"정상",IF(N95&gt;O95*10,"MOQ 과잉 확인","정상")))</x:f>
      </x:c>
      <x:c r="Q95" s="58" t="str"/>
      <x:c r="R95" s="60" t="str">
        <x:f>IF(C95="","",IF(Q95="Y",IF(K95&gt;0,"정상","누락"),"정상"))</x:f>
      </x:c>
      <x:c r="S95" s="66" t="str">
        <x:f>IF(C95="","",IF(N95=0,0,ROUNDUP(N95/O95,0)*O95))</x:f>
      </x:c>
      <x:c r="T95" s="66"/>
      <x:c r="U95" s="66" t="str">
        <x:f>IF(C95="","",S95*T95)</x:f>
      </x:c>
    </x:row>
    <x:row r="96">
      <x:c r="A96" s="69" t="str"/>
      <x:c r="B96" s="69" t="str"/>
      <x:c r="C96" s="58" t="str"/>
      <x:c r="D96" s="58" t="str"/>
      <x:c r="E96" s="58" t="str"/>
      <x:c r="F96" s="70"/>
      <x:c r="G96" s="70"/>
      <x:c r="H96" s="71"/>
      <x:c r="I96" s="72"/>
      <x:c r="J96" s="72"/>
      <x:c r="K96" s="73" t="str">
        <x:f>IF(C96="","",F96*G96*H96*I96+J96)</x:f>
      </x:c>
      <x:c r="L96" s="73"/>
      <x:c r="M96" s="73"/>
      <x:c r="N96" s="73" t="str">
        <x:f>IF(C96="","",MAX(0,K96+M96-L96))</x:f>
      </x:c>
      <x:c r="O96" s="72"/>
      <x:c r="P96" s="60" t="str">
        <x:f>IF(C96="","",IF(N96=0,"정상",IF(N96&gt;O96*10,"MOQ 과잉 확인","정상")))</x:f>
      </x:c>
      <x:c r="Q96" s="58" t="str"/>
      <x:c r="R96" s="60" t="str">
        <x:f>IF(C96="","",IF(Q96="Y",IF(K96&gt;0,"정상","누락"),"정상"))</x:f>
      </x:c>
      <x:c r="S96" s="66" t="str">
        <x:f>IF(C96="","",IF(N96=0,0,ROUNDUP(N96/O96,0)*O96))</x:f>
      </x:c>
      <x:c r="T96" s="66"/>
      <x:c r="U96" s="66" t="str">
        <x:f>IF(C96="","",S96*T96)</x:f>
      </x:c>
    </x:row>
    <x:row r="97">
      <x:c r="A97" s="69" t="str"/>
      <x:c r="B97" s="69" t="str"/>
      <x:c r="C97" s="58" t="str"/>
      <x:c r="D97" s="58" t="str"/>
      <x:c r="E97" s="58" t="str"/>
      <x:c r="F97" s="70"/>
      <x:c r="G97" s="70"/>
      <x:c r="H97" s="71"/>
      <x:c r="I97" s="72"/>
      <x:c r="J97" s="72"/>
      <x:c r="K97" s="73" t="str">
        <x:f>IF(C97="","",F97*G97*H97*I97+J97)</x:f>
      </x:c>
      <x:c r="L97" s="73"/>
      <x:c r="M97" s="73"/>
      <x:c r="N97" s="73" t="str">
        <x:f>IF(C97="","",MAX(0,K97+M97-L97))</x:f>
      </x:c>
      <x:c r="O97" s="72"/>
      <x:c r="P97" s="60" t="str">
        <x:f>IF(C97="","",IF(N97=0,"정상",IF(N97&gt;O97*10,"MOQ 과잉 확인","정상")))</x:f>
      </x:c>
      <x:c r="Q97" s="58" t="str"/>
      <x:c r="R97" s="60" t="str">
        <x:f>IF(C97="","",IF(Q97="Y",IF(K97&gt;0,"정상","누락"),"정상"))</x:f>
      </x:c>
      <x:c r="S97" s="66" t="str">
        <x:f>IF(C97="","",IF(N97=0,0,ROUNDUP(N97/O97,0)*O97))</x:f>
      </x:c>
      <x:c r="T97" s="66"/>
      <x:c r="U97" s="66" t="str">
        <x:f>IF(C97="","",S97*T97)</x:f>
      </x:c>
    </x:row>
    <x:row r="98">
      <x:c r="A98" s="69" t="str"/>
      <x:c r="B98" s="69" t="str"/>
      <x:c r="C98" s="58" t="str"/>
      <x:c r="D98" s="58" t="str"/>
      <x:c r="E98" s="58" t="str"/>
      <x:c r="F98" s="70"/>
      <x:c r="G98" s="70"/>
      <x:c r="H98" s="71"/>
      <x:c r="I98" s="72"/>
      <x:c r="J98" s="72"/>
      <x:c r="K98" s="73" t="str">
        <x:f>IF(C98="","",F98*G98*H98*I98+J98)</x:f>
      </x:c>
      <x:c r="L98" s="73"/>
      <x:c r="M98" s="73"/>
      <x:c r="N98" s="73" t="str">
        <x:f>IF(C98="","",MAX(0,K98+M98-L98))</x:f>
      </x:c>
      <x:c r="O98" s="72"/>
      <x:c r="P98" s="60" t="str">
        <x:f>IF(C98="","",IF(N98=0,"정상",IF(N98&gt;O98*10,"MOQ 과잉 확인","정상")))</x:f>
      </x:c>
      <x:c r="Q98" s="58" t="str"/>
      <x:c r="R98" s="60" t="str">
        <x:f>IF(C98="","",IF(Q98="Y",IF(K98&gt;0,"정상","누락"),"정상"))</x:f>
      </x:c>
      <x:c r="S98" s="66" t="str">
        <x:f>IF(C98="","",IF(N98=0,0,ROUNDUP(N98/O98,0)*O98))</x:f>
      </x:c>
      <x:c r="T98" s="66"/>
      <x:c r="U98" s="66" t="str">
        <x:f>IF(C98="","",S98*T98)</x:f>
      </x:c>
    </x:row>
    <x:row r="99">
      <x:c r="A99" s="69" t="str"/>
      <x:c r="B99" s="69" t="str"/>
      <x:c r="C99" s="58" t="str"/>
      <x:c r="D99" s="58" t="str"/>
      <x:c r="E99" s="58" t="str"/>
      <x:c r="F99" s="70"/>
      <x:c r="G99" s="70"/>
      <x:c r="H99" s="71"/>
      <x:c r="I99" s="72"/>
      <x:c r="J99" s="72"/>
      <x:c r="K99" s="73" t="str">
        <x:f>IF(C99="","",F99*G99*H99*I99+J99)</x:f>
      </x:c>
      <x:c r="L99" s="73"/>
      <x:c r="M99" s="73"/>
      <x:c r="N99" s="73" t="str">
        <x:f>IF(C99="","",MAX(0,K99+M99-L99))</x:f>
      </x:c>
      <x:c r="O99" s="72"/>
      <x:c r="P99" s="60" t="str">
        <x:f>IF(C99="","",IF(N99=0,"정상",IF(N99&gt;O99*10,"MOQ 과잉 확인","정상")))</x:f>
      </x:c>
      <x:c r="Q99" s="58" t="str"/>
      <x:c r="R99" s="60" t="str">
        <x:f>IF(C99="","",IF(Q99="Y",IF(K99&gt;0,"정상","누락"),"정상"))</x:f>
      </x:c>
      <x:c r="S99" s="66" t="str">
        <x:f>IF(C99="","",IF(N99=0,0,ROUNDUP(N99/O99,0)*O99))</x:f>
      </x:c>
      <x:c r="T99" s="66"/>
      <x:c r="U99" s="66" t="str">
        <x:f>IF(C99="","",S99*T99)</x:f>
      </x:c>
    </x:row>
    <x:row r="100">
      <x:c r="A100" s="69" t="str"/>
      <x:c r="B100" s="69" t="str"/>
      <x:c r="C100" s="58" t="str"/>
      <x:c r="D100" s="58" t="str"/>
      <x:c r="E100" s="58" t="str"/>
      <x:c r="F100" s="70"/>
      <x:c r="G100" s="70"/>
      <x:c r="H100" s="71"/>
      <x:c r="I100" s="72"/>
      <x:c r="J100" s="72"/>
      <x:c r="K100" s="73" t="str">
        <x:f>IF(C100="","",F100*G100*H100*I100+J100)</x:f>
      </x:c>
      <x:c r="L100" s="73"/>
      <x:c r="M100" s="73"/>
      <x:c r="N100" s="73" t="str">
        <x:f>IF(C100="","",MAX(0,K100+M100-L100))</x:f>
      </x:c>
      <x:c r="O100" s="72"/>
      <x:c r="P100" s="60" t="str">
        <x:f>IF(C100="","",IF(N100=0,"정상",IF(N100&gt;O100*10,"MOQ 과잉 확인","정상")))</x:f>
      </x:c>
      <x:c r="Q100" s="58" t="str"/>
      <x:c r="R100" s="60" t="str">
        <x:f>IF(C100="","",IF(Q100="Y",IF(K100&gt;0,"정상","누락"),"정상"))</x:f>
      </x:c>
      <x:c r="S100" s="66" t="str">
        <x:f>IF(C100="","",IF(N100=0,0,ROUNDUP(N100/O100,0)*O100))</x:f>
      </x:c>
      <x:c r="T100" s="66"/>
      <x:c r="U100" s="66" t="str">
        <x:f>IF(C100="","",S100*T100)</x:f>
      </x:c>
    </x:row>
    <x:row r="101">
      <x:c r="A101" s="69" t="str"/>
      <x:c r="B101" s="69" t="str"/>
      <x:c r="C101" s="58" t="str"/>
      <x:c r="D101" s="58" t="str"/>
      <x:c r="E101" s="58" t="str"/>
      <x:c r="F101" s="70"/>
      <x:c r="G101" s="70"/>
      <x:c r="H101" s="71"/>
      <x:c r="I101" s="72"/>
      <x:c r="J101" s="72"/>
      <x:c r="K101" s="73" t="str">
        <x:f>IF(C101="","",F101*G101*H101*I101+J101)</x:f>
      </x:c>
      <x:c r="L101" s="73"/>
      <x:c r="M101" s="73"/>
      <x:c r="N101" s="73" t="str">
        <x:f>IF(C101="","",MAX(0,K101+M101-L101))</x:f>
      </x:c>
      <x:c r="O101" s="72"/>
      <x:c r="P101" s="60" t="str">
        <x:f>IF(C101="","",IF(N101=0,"정상",IF(N101&gt;O101*10,"MOQ 과잉 확인","정상")))</x:f>
      </x:c>
      <x:c r="Q101" s="58" t="str"/>
      <x:c r="R101" s="60" t="str">
        <x:f>IF(C101="","",IF(Q101="Y",IF(K101&gt;0,"정상","누락"),"정상"))</x:f>
      </x:c>
      <x:c r="S101" s="66" t="str">
        <x:f>IF(C101="","",IF(N101=0,0,ROUNDUP(N101/O101,0)*O101))</x:f>
      </x:c>
      <x:c r="T101" s="66"/>
      <x:c r="U101" s="66" t="str">
        <x:f>IF(C101="","",S101*T101)</x:f>
      </x:c>
    </x:row>
    <x:row r="102">
      <x:c r="A102" s="69" t="str"/>
      <x:c r="B102" s="69" t="str"/>
      <x:c r="C102" s="58" t="str"/>
      <x:c r="D102" s="58" t="str"/>
      <x:c r="E102" s="58" t="str"/>
      <x:c r="F102" s="70"/>
      <x:c r="G102" s="70"/>
      <x:c r="H102" s="71"/>
      <x:c r="I102" s="72"/>
      <x:c r="J102" s="72"/>
      <x:c r="K102" s="73" t="str">
        <x:f>IF(C102="","",F102*G102*H102*I102+J102)</x:f>
      </x:c>
      <x:c r="L102" s="73"/>
      <x:c r="M102" s="73"/>
      <x:c r="N102" s="73" t="str">
        <x:f>IF(C102="","",MAX(0,K102+M102-L102))</x:f>
      </x:c>
      <x:c r="O102" s="72"/>
      <x:c r="P102" s="60" t="str">
        <x:f>IF(C102="","",IF(N102=0,"정상",IF(N102&gt;O102*10,"MOQ 과잉 확인","정상")))</x:f>
      </x:c>
      <x:c r="Q102" s="58" t="str"/>
      <x:c r="R102" s="60" t="str">
        <x:f>IF(C102="","",IF(Q102="Y",IF(K102&gt;0,"정상","누락"),"정상"))</x:f>
      </x:c>
      <x:c r="S102" s="66" t="str">
        <x:f>IF(C102="","",IF(N102=0,0,ROUNDUP(N102/O102,0)*O102))</x:f>
      </x:c>
      <x:c r="T102" s="66"/>
      <x:c r="U102" s="66" t="str">
        <x:f>IF(C102="","",S102*T102)</x:f>
      </x:c>
    </x:row>
    <x:row r="103">
      <x:c r="A103" s="69" t="str"/>
      <x:c r="B103" s="69" t="str"/>
      <x:c r="C103" s="58" t="str"/>
      <x:c r="D103" s="58" t="str"/>
      <x:c r="E103" s="58" t="str"/>
      <x:c r="F103" s="70"/>
      <x:c r="G103" s="70"/>
      <x:c r="H103" s="71"/>
      <x:c r="I103" s="72"/>
      <x:c r="J103" s="72"/>
      <x:c r="K103" s="73" t="str">
        <x:f>IF(C103="","",F103*G103*H103*I103+J103)</x:f>
      </x:c>
      <x:c r="L103" s="73"/>
      <x:c r="M103" s="73"/>
      <x:c r="N103" s="73" t="str">
        <x:f>IF(C103="","",MAX(0,K103+M103-L103))</x:f>
      </x:c>
      <x:c r="O103" s="72"/>
      <x:c r="P103" s="60" t="str">
        <x:f>IF(C103="","",IF(N103=0,"정상",IF(N103&gt;O103*10,"MOQ 과잉 확인","정상")))</x:f>
      </x:c>
      <x:c r="Q103" s="58" t="str"/>
      <x:c r="R103" s="60" t="str">
        <x:f>IF(C103="","",IF(Q103="Y",IF(K103&gt;0,"정상","누락"),"정상"))</x:f>
      </x:c>
      <x:c r="S103" s="66" t="str">
        <x:f>IF(C103="","",IF(N103=0,0,ROUNDUP(N103/O103,0)*O103))</x:f>
      </x:c>
      <x:c r="T103" s="66"/>
      <x:c r="U103" s="66" t="str">
        <x:f>IF(C103="","",S103*T103)</x:f>
      </x:c>
    </x:row>
    <x:row r="104">
      <x:c r="A104" s="69" t="str"/>
      <x:c r="B104" s="69" t="str"/>
      <x:c r="C104" s="58" t="str"/>
      <x:c r="D104" s="58" t="str"/>
      <x:c r="E104" s="58" t="str"/>
      <x:c r="F104" s="70"/>
      <x:c r="G104" s="70"/>
      <x:c r="H104" s="71"/>
      <x:c r="I104" s="72"/>
      <x:c r="J104" s="72"/>
      <x:c r="K104" s="73" t="str">
        <x:f>IF(C104="","",F104*G104*H104*I104+J104)</x:f>
      </x:c>
      <x:c r="L104" s="73"/>
      <x:c r="M104" s="73"/>
      <x:c r="N104" s="73" t="str">
        <x:f>IF(C104="","",MAX(0,K104+M104-L104))</x:f>
      </x:c>
      <x:c r="O104" s="72"/>
      <x:c r="P104" s="60" t="str">
        <x:f>IF(C104="","",IF(N104=0,"정상",IF(N104&gt;O104*10,"MOQ 과잉 확인","정상")))</x:f>
      </x:c>
      <x:c r="Q104" s="58" t="str"/>
      <x:c r="R104" s="60" t="str">
        <x:f>IF(C104="","",IF(Q104="Y",IF(K104&gt;0,"정상","누락"),"정상"))</x:f>
      </x:c>
      <x:c r="S104" s="66" t="str">
        <x:f>IF(C104="","",IF(N104=0,0,ROUNDUP(N104/O104,0)*O104))</x:f>
      </x:c>
      <x:c r="T104" s="66"/>
      <x:c r="U104" s="66" t="str">
        <x:f>IF(C104="","",S104*T104)</x:f>
      </x:c>
    </x:row>
    <x:row r="105">
      <x:c r="A105" s="69" t="str"/>
      <x:c r="B105" s="69" t="str"/>
      <x:c r="C105" s="58" t="str"/>
      <x:c r="D105" s="58" t="str"/>
      <x:c r="E105" s="58" t="str"/>
      <x:c r="F105" s="70"/>
      <x:c r="G105" s="70"/>
      <x:c r="H105" s="71"/>
      <x:c r="I105" s="72"/>
      <x:c r="J105" s="72"/>
      <x:c r="K105" s="73" t="str">
        <x:f>IF(C105="","",F105*G105*H105*I105+J105)</x:f>
      </x:c>
      <x:c r="L105" s="73"/>
      <x:c r="M105" s="73"/>
      <x:c r="N105" s="73" t="str">
        <x:f>IF(C105="","",MAX(0,K105+M105-L105))</x:f>
      </x:c>
      <x:c r="O105" s="72"/>
      <x:c r="P105" s="60" t="str">
        <x:f>IF(C105="","",IF(N105=0,"정상",IF(N105&gt;O105*10,"MOQ 과잉 확인","정상")))</x:f>
      </x:c>
      <x:c r="Q105" s="58" t="str"/>
      <x:c r="R105" s="60" t="str">
        <x:f>IF(C105="","",IF(Q105="Y",IF(K105&gt;0,"정상","누락"),"정상"))</x:f>
      </x:c>
      <x:c r="S105" s="66" t="str">
        <x:f>IF(C105="","",IF(N105=0,0,ROUNDUP(N105/O105,0)*O105))</x:f>
      </x:c>
      <x:c r="T105" s="66"/>
      <x:c r="U105" s="66" t="str">
        <x:f>IF(C105="","",S105*T105)</x:f>
      </x:c>
    </x:row>
    <x:row r="106">
      <x:c r="A106" s="69" t="str"/>
      <x:c r="B106" s="69" t="str"/>
      <x:c r="C106" s="58" t="str"/>
      <x:c r="D106" s="58" t="str"/>
      <x:c r="E106" s="58" t="str"/>
      <x:c r="F106" s="70"/>
      <x:c r="G106" s="70"/>
      <x:c r="H106" s="71"/>
      <x:c r="I106" s="72"/>
      <x:c r="J106" s="72"/>
      <x:c r="K106" s="73" t="str">
        <x:f>IF(C106="","",F106*G106*H106*I106+J106)</x:f>
      </x:c>
      <x:c r="L106" s="73"/>
      <x:c r="M106" s="73"/>
      <x:c r="N106" s="73" t="str">
        <x:f>IF(C106="","",MAX(0,K106+M106-L106))</x:f>
      </x:c>
      <x:c r="O106" s="72"/>
      <x:c r="P106" s="60" t="str">
        <x:f>IF(C106="","",IF(N106=0,"정상",IF(N106&gt;O106*10,"MOQ 과잉 확인","정상")))</x:f>
      </x:c>
      <x:c r="Q106" s="58" t="str"/>
      <x:c r="R106" s="60" t="str">
        <x:f>IF(C106="","",IF(Q106="Y",IF(K106&gt;0,"정상","누락"),"정상"))</x:f>
      </x:c>
      <x:c r="S106" s="66" t="str">
        <x:f>IF(C106="","",IF(N106=0,0,ROUNDUP(N106/O106,0)*O106))</x:f>
      </x:c>
      <x:c r="T106" s="66"/>
      <x:c r="U106" s="66" t="str">
        <x:f>IF(C106="","",S106*T106)</x:f>
      </x:c>
    </x:row>
    <x:row r="107">
      <x:c r="A107" s="69" t="str"/>
      <x:c r="B107" s="69" t="str"/>
      <x:c r="C107" s="58" t="str"/>
      <x:c r="D107" s="58" t="str"/>
      <x:c r="E107" s="58" t="str"/>
      <x:c r="F107" s="70"/>
      <x:c r="G107" s="70"/>
      <x:c r="H107" s="71"/>
      <x:c r="I107" s="72"/>
      <x:c r="J107" s="72"/>
      <x:c r="K107" s="73" t="str">
        <x:f>IF(C107="","",F107*G107*H107*I107+J107)</x:f>
      </x:c>
      <x:c r="L107" s="73"/>
      <x:c r="M107" s="73"/>
      <x:c r="N107" s="73" t="str">
        <x:f>IF(C107="","",MAX(0,K107+M107-L107))</x:f>
      </x:c>
      <x:c r="O107" s="72"/>
      <x:c r="P107" s="60" t="str">
        <x:f>IF(C107="","",IF(N107=0,"정상",IF(N107&gt;O107*10,"MOQ 과잉 확인","정상")))</x:f>
      </x:c>
      <x:c r="Q107" s="58" t="str"/>
      <x:c r="R107" s="60" t="str">
        <x:f>IF(C107="","",IF(Q107="Y",IF(K107&gt;0,"정상","누락"),"정상"))</x:f>
      </x:c>
      <x:c r="S107" s="66" t="str">
        <x:f>IF(C107="","",IF(N107=0,0,ROUNDUP(N107/O107,0)*O107))</x:f>
      </x:c>
      <x:c r="T107" s="66"/>
      <x:c r="U107" s="66" t="str">
        <x:f>IF(C107="","",S107*T107)</x:f>
      </x:c>
    </x:row>
    <x:row r="108">
      <x:c r="A108" s="69" t="str"/>
      <x:c r="B108" s="69" t="str"/>
      <x:c r="C108" s="58" t="str"/>
      <x:c r="D108" s="58" t="str"/>
      <x:c r="E108" s="58" t="str"/>
      <x:c r="F108" s="70"/>
      <x:c r="G108" s="70"/>
      <x:c r="H108" s="71"/>
      <x:c r="I108" s="72"/>
      <x:c r="J108" s="72"/>
      <x:c r="K108" s="73" t="str">
        <x:f>IF(C108="","",F108*G108*H108*I108+J108)</x:f>
      </x:c>
      <x:c r="L108" s="73"/>
      <x:c r="M108" s="73"/>
      <x:c r="N108" s="73" t="str">
        <x:f>IF(C108="","",MAX(0,K108+M108-L108))</x:f>
      </x:c>
      <x:c r="O108" s="72"/>
      <x:c r="P108" s="60" t="str">
        <x:f>IF(C108="","",IF(N108=0,"정상",IF(N108&gt;O108*10,"MOQ 과잉 확인","정상")))</x:f>
      </x:c>
      <x:c r="Q108" s="58" t="str"/>
      <x:c r="R108" s="60" t="str">
        <x:f>IF(C108="","",IF(Q108="Y",IF(K108&gt;0,"정상","누락"),"정상"))</x:f>
      </x:c>
      <x:c r="S108" s="66" t="str">
        <x:f>IF(C108="","",IF(N108=0,0,ROUNDUP(N108/O108,0)*O108))</x:f>
      </x:c>
      <x:c r="T108" s="66"/>
      <x:c r="U108" s="66" t="str">
        <x:f>IF(C108="","",S108*T108)</x:f>
      </x:c>
    </x:row>
    <x:row r="109">
      <x:c r="A109" s="69" t="str"/>
      <x:c r="B109" s="69" t="str"/>
      <x:c r="C109" s="58" t="str"/>
      <x:c r="D109" s="58" t="str"/>
      <x:c r="E109" s="58" t="str"/>
      <x:c r="F109" s="70"/>
      <x:c r="G109" s="70"/>
      <x:c r="H109" s="71"/>
      <x:c r="I109" s="72"/>
      <x:c r="J109" s="72"/>
      <x:c r="K109" s="73" t="str">
        <x:f>IF(C109="","",F109*G109*H109*I109+J109)</x:f>
      </x:c>
      <x:c r="L109" s="73"/>
      <x:c r="M109" s="73"/>
      <x:c r="N109" s="73" t="str">
        <x:f>IF(C109="","",MAX(0,K109+M109-L109))</x:f>
      </x:c>
      <x:c r="O109" s="72"/>
      <x:c r="P109" s="60" t="str">
        <x:f>IF(C109="","",IF(N109=0,"정상",IF(N109&gt;O109*10,"MOQ 과잉 확인","정상")))</x:f>
      </x:c>
      <x:c r="Q109" s="58" t="str"/>
      <x:c r="R109" s="60" t="str">
        <x:f>IF(C109="","",IF(Q109="Y",IF(K109&gt;0,"정상","누락"),"정상"))</x:f>
      </x:c>
      <x:c r="S109" s="66" t="str">
        <x:f>IF(C109="","",IF(N109=0,0,ROUNDUP(N109/O109,0)*O109))</x:f>
      </x:c>
      <x:c r="T109" s="66"/>
      <x:c r="U109" s="66" t="str">
        <x:f>IF(C109="","",S109*T109)</x:f>
      </x:c>
    </x:row>
    <x:row r="110">
      <x:c r="A110" s="69" t="str"/>
      <x:c r="B110" s="69" t="str"/>
      <x:c r="C110" s="58" t="str"/>
      <x:c r="D110" s="58" t="str"/>
      <x:c r="E110" s="58" t="str"/>
      <x:c r="F110" s="70"/>
      <x:c r="G110" s="70"/>
      <x:c r="H110" s="71"/>
      <x:c r="I110" s="72"/>
      <x:c r="J110" s="72"/>
      <x:c r="K110" s="73" t="str">
        <x:f>IF(C110="","",F110*G110*H110*I110+J110)</x:f>
      </x:c>
      <x:c r="L110" s="73"/>
      <x:c r="M110" s="73"/>
      <x:c r="N110" s="73" t="str">
        <x:f>IF(C110="","",MAX(0,K110+M110-L110))</x:f>
      </x:c>
      <x:c r="O110" s="72"/>
      <x:c r="P110" s="60" t="str">
        <x:f>IF(C110="","",IF(N110=0,"정상",IF(N110&gt;O110*10,"MOQ 과잉 확인","정상")))</x:f>
      </x:c>
      <x:c r="Q110" s="58" t="str"/>
      <x:c r="R110" s="60" t="str">
        <x:f>IF(C110="","",IF(Q110="Y",IF(K110&gt;0,"정상","누락"),"정상"))</x:f>
      </x:c>
      <x:c r="S110" s="66" t="str">
        <x:f>IF(C110="","",IF(N110=0,0,ROUNDUP(N110/O110,0)*O110))</x:f>
      </x:c>
      <x:c r="T110" s="66"/>
      <x:c r="U110" s="66" t="str">
        <x:f>IF(C110="","",S110*T110)</x:f>
      </x:c>
    </x:row>
    <x:row r="111">
      <x:c r="A111" s="69" t="str"/>
      <x:c r="B111" s="69" t="str"/>
      <x:c r="C111" s="58" t="str"/>
      <x:c r="D111" s="58" t="str"/>
      <x:c r="E111" s="58" t="str"/>
      <x:c r="F111" s="70"/>
      <x:c r="G111" s="70"/>
      <x:c r="H111" s="71"/>
      <x:c r="I111" s="72"/>
      <x:c r="J111" s="72"/>
      <x:c r="K111" s="73" t="str">
        <x:f>IF(C111="","",F111*G111*H111*I111+J111)</x:f>
      </x:c>
      <x:c r="L111" s="73"/>
      <x:c r="M111" s="73"/>
      <x:c r="N111" s="73" t="str">
        <x:f>IF(C111="","",MAX(0,K111+M111-L111))</x:f>
      </x:c>
      <x:c r="O111" s="72"/>
      <x:c r="P111" s="60" t="str">
        <x:f>IF(C111="","",IF(N111=0,"정상",IF(N111&gt;O111*10,"MOQ 과잉 확인","정상")))</x:f>
      </x:c>
      <x:c r="Q111" s="58" t="str"/>
      <x:c r="R111" s="60" t="str">
        <x:f>IF(C111="","",IF(Q111="Y",IF(K111&gt;0,"정상","누락"),"정상"))</x:f>
      </x:c>
      <x:c r="S111" s="66" t="str">
        <x:f>IF(C111="","",IF(N111=0,0,ROUNDUP(N111/O111,0)*O111))</x:f>
      </x:c>
      <x:c r="T111" s="66"/>
      <x:c r="U111" s="66" t="str">
        <x:f>IF(C111="","",S111*T111)</x:f>
      </x:c>
    </x:row>
    <x:row r="112">
      <x:c r="A112" s="69" t="str"/>
      <x:c r="B112" s="69" t="str"/>
      <x:c r="C112" s="58" t="str"/>
      <x:c r="D112" s="58" t="str"/>
      <x:c r="E112" s="58" t="str"/>
      <x:c r="F112" s="70"/>
      <x:c r="G112" s="70"/>
      <x:c r="H112" s="71"/>
      <x:c r="I112" s="72"/>
      <x:c r="J112" s="72"/>
      <x:c r="K112" s="73" t="str">
        <x:f>IF(C112="","",F112*G112*H112*I112+J112)</x:f>
      </x:c>
      <x:c r="L112" s="73"/>
      <x:c r="M112" s="73"/>
      <x:c r="N112" s="73" t="str">
        <x:f>IF(C112="","",MAX(0,K112+M112-L112))</x:f>
      </x:c>
      <x:c r="O112" s="72"/>
      <x:c r="P112" s="60" t="str">
        <x:f>IF(C112="","",IF(N112=0,"정상",IF(N112&gt;O112*10,"MOQ 과잉 확인","정상")))</x:f>
      </x:c>
      <x:c r="Q112" s="58" t="str"/>
      <x:c r="R112" s="60" t="str">
        <x:f>IF(C112="","",IF(Q112="Y",IF(K112&gt;0,"정상","누락"),"정상"))</x:f>
      </x:c>
      <x:c r="S112" s="66" t="str">
        <x:f>IF(C112="","",IF(N112=0,0,ROUNDUP(N112/O112,0)*O112))</x:f>
      </x:c>
      <x:c r="T112" s="66"/>
      <x:c r="U112" s="66" t="str">
        <x:f>IF(C112="","",S112*T112)</x:f>
      </x:c>
    </x:row>
    <x:row r="113">
      <x:c r="A113" s="69" t="str"/>
      <x:c r="B113" s="69" t="str"/>
      <x:c r="C113" s="58" t="str"/>
      <x:c r="D113" s="58" t="str"/>
      <x:c r="E113" s="58" t="str"/>
      <x:c r="F113" s="70"/>
      <x:c r="G113" s="70"/>
      <x:c r="H113" s="71"/>
      <x:c r="I113" s="72"/>
      <x:c r="J113" s="72"/>
      <x:c r="K113" s="73" t="str">
        <x:f>IF(C113="","",F113*G113*H113*I113+J113)</x:f>
      </x:c>
      <x:c r="L113" s="73"/>
      <x:c r="M113" s="73"/>
      <x:c r="N113" s="73" t="str">
        <x:f>IF(C113="","",MAX(0,K113+M113-L113))</x:f>
      </x:c>
      <x:c r="O113" s="72"/>
      <x:c r="P113" s="60" t="str">
        <x:f>IF(C113="","",IF(N113=0,"정상",IF(N113&gt;O113*10,"MOQ 과잉 확인","정상")))</x:f>
      </x:c>
      <x:c r="Q113" s="58" t="str"/>
      <x:c r="R113" s="60" t="str">
        <x:f>IF(C113="","",IF(Q113="Y",IF(K113&gt;0,"정상","누락"),"정상"))</x:f>
      </x:c>
      <x:c r="S113" s="66" t="str">
        <x:f>IF(C113="","",IF(N113=0,0,ROUNDUP(N113/O113,0)*O113))</x:f>
      </x:c>
      <x:c r="T113" s="66"/>
      <x:c r="U113" s="66" t="str">
        <x:f>IF(C113="","",S113*T113)</x:f>
      </x:c>
    </x:row>
    <x:row r="114">
      <x:c r="A114" s="69" t="str"/>
      <x:c r="B114" s="69" t="str"/>
      <x:c r="C114" s="58" t="str"/>
      <x:c r="D114" s="58" t="str"/>
      <x:c r="E114" s="58" t="str"/>
      <x:c r="F114" s="70"/>
      <x:c r="G114" s="70"/>
      <x:c r="H114" s="71"/>
      <x:c r="I114" s="72"/>
      <x:c r="J114" s="72"/>
      <x:c r="K114" s="73" t="str">
        <x:f>IF(C114="","",F114*G114*H114*I114+J114)</x:f>
      </x:c>
      <x:c r="L114" s="73"/>
      <x:c r="M114" s="73"/>
      <x:c r="N114" s="73" t="str">
        <x:f>IF(C114="","",MAX(0,K114+M114-L114))</x:f>
      </x:c>
      <x:c r="O114" s="72"/>
      <x:c r="P114" s="60" t="str">
        <x:f>IF(C114="","",IF(N114=0,"정상",IF(N114&gt;O114*10,"MOQ 과잉 확인","정상")))</x:f>
      </x:c>
      <x:c r="Q114" s="58" t="str"/>
      <x:c r="R114" s="60" t="str">
        <x:f>IF(C114="","",IF(Q114="Y",IF(K114&gt;0,"정상","누락"),"정상"))</x:f>
      </x:c>
      <x:c r="S114" s="66" t="str">
        <x:f>IF(C114="","",IF(N114=0,0,ROUNDUP(N114/O114,0)*O114))</x:f>
      </x:c>
      <x:c r="T114" s="66"/>
      <x:c r="U114" s="66" t="str">
        <x:f>IF(C114="","",S114*T114)</x:f>
      </x:c>
    </x:row>
    <x:row r="115">
      <x:c r="A115" s="69" t="str"/>
      <x:c r="B115" s="69" t="str"/>
      <x:c r="C115" s="58" t="str"/>
      <x:c r="D115" s="58" t="str"/>
      <x:c r="E115" s="58" t="str"/>
      <x:c r="F115" s="70"/>
      <x:c r="G115" s="70"/>
      <x:c r="H115" s="71"/>
      <x:c r="I115" s="72"/>
      <x:c r="J115" s="72"/>
      <x:c r="K115" s="73" t="str">
        <x:f>IF(C115="","",F115*G115*H115*I115+J115)</x:f>
      </x:c>
      <x:c r="L115" s="73"/>
      <x:c r="M115" s="73"/>
      <x:c r="N115" s="73" t="str">
        <x:f>IF(C115="","",MAX(0,K115+M115-L115))</x:f>
      </x:c>
      <x:c r="O115" s="72"/>
      <x:c r="P115" s="60" t="str">
        <x:f>IF(C115="","",IF(N115=0,"정상",IF(N115&gt;O115*10,"MOQ 과잉 확인","정상")))</x:f>
      </x:c>
      <x:c r="Q115" s="58" t="str"/>
      <x:c r="R115" s="60" t="str">
        <x:f>IF(C115="","",IF(Q115="Y",IF(K115&gt;0,"정상","누락"),"정상"))</x:f>
      </x:c>
      <x:c r="S115" s="66" t="str">
        <x:f>IF(C115="","",IF(N115=0,0,ROUNDUP(N115/O115,0)*O115))</x:f>
      </x:c>
      <x:c r="T115" s="66"/>
      <x:c r="U115" s="66" t="str">
        <x:f>IF(C115="","",S115*T115)</x:f>
      </x:c>
    </x:row>
    <x:row r="116">
      <x:c r="A116" s="69" t="str"/>
      <x:c r="B116" s="69" t="str"/>
      <x:c r="C116" s="58" t="str"/>
      <x:c r="D116" s="58" t="str"/>
      <x:c r="E116" s="58" t="str"/>
      <x:c r="F116" s="70"/>
      <x:c r="G116" s="70"/>
      <x:c r="H116" s="71"/>
      <x:c r="I116" s="72"/>
      <x:c r="J116" s="72"/>
      <x:c r="K116" s="73" t="str">
        <x:f>IF(C116="","",F116*G116*H116*I116+J116)</x:f>
      </x:c>
      <x:c r="L116" s="73"/>
      <x:c r="M116" s="73"/>
      <x:c r="N116" s="73" t="str">
        <x:f>IF(C116="","",MAX(0,K116+M116-L116))</x:f>
      </x:c>
      <x:c r="O116" s="72"/>
      <x:c r="P116" s="60" t="str">
        <x:f>IF(C116="","",IF(N116=0,"정상",IF(N116&gt;O116*10,"MOQ 과잉 확인","정상")))</x:f>
      </x:c>
      <x:c r="Q116" s="58" t="str"/>
      <x:c r="R116" s="60" t="str">
        <x:f>IF(C116="","",IF(Q116="Y",IF(K116&gt;0,"정상","누락"),"정상"))</x:f>
      </x:c>
      <x:c r="S116" s="66" t="str">
        <x:f>IF(C116="","",IF(N116=0,0,ROUNDUP(N116/O116,0)*O116))</x:f>
      </x:c>
      <x:c r="T116" s="66"/>
      <x:c r="U116" s="66" t="str">
        <x:f>IF(C116="","",S116*T116)</x:f>
      </x:c>
    </x:row>
    <x:row r="117">
      <x:c r="A117" s="69" t="str"/>
      <x:c r="B117" s="69" t="str"/>
      <x:c r="C117" s="58" t="str"/>
      <x:c r="D117" s="58" t="str"/>
      <x:c r="E117" s="58" t="str"/>
      <x:c r="F117" s="70"/>
      <x:c r="G117" s="70"/>
      <x:c r="H117" s="71"/>
      <x:c r="I117" s="72"/>
      <x:c r="J117" s="72"/>
      <x:c r="K117" s="73" t="str">
        <x:f>IF(C117="","",F117*G117*H117*I117+J117)</x:f>
      </x:c>
      <x:c r="L117" s="73"/>
      <x:c r="M117" s="73"/>
      <x:c r="N117" s="73" t="str">
        <x:f>IF(C117="","",MAX(0,K117+M117-L117))</x:f>
      </x:c>
      <x:c r="O117" s="72"/>
      <x:c r="P117" s="60" t="str">
        <x:f>IF(C117="","",IF(N117=0,"정상",IF(N117&gt;O117*10,"MOQ 과잉 확인","정상")))</x:f>
      </x:c>
      <x:c r="Q117" s="58" t="str"/>
      <x:c r="R117" s="60" t="str">
        <x:f>IF(C117="","",IF(Q117="Y",IF(K117&gt;0,"정상","누락"),"정상"))</x:f>
      </x:c>
      <x:c r="S117" s="66" t="str">
        <x:f>IF(C117="","",IF(N117=0,0,ROUNDUP(N117/O117,0)*O117))</x:f>
      </x:c>
      <x:c r="T117" s="66"/>
      <x:c r="U117" s="66" t="str">
        <x:f>IF(C117="","",S117*T117)</x:f>
      </x:c>
    </x:row>
    <x:row r="118">
      <x:c r="A118" s="69" t="str"/>
      <x:c r="B118" s="69" t="str"/>
      <x:c r="C118" s="58" t="str"/>
      <x:c r="D118" s="58" t="str"/>
      <x:c r="E118" s="58" t="str"/>
      <x:c r="F118" s="70"/>
      <x:c r="G118" s="70"/>
      <x:c r="H118" s="71"/>
      <x:c r="I118" s="72"/>
      <x:c r="J118" s="72"/>
      <x:c r="K118" s="73" t="str">
        <x:f>IF(C118="","",F118*G118*H118*I118+J118)</x:f>
      </x:c>
      <x:c r="L118" s="73"/>
      <x:c r="M118" s="73"/>
      <x:c r="N118" s="73" t="str">
        <x:f>IF(C118="","",MAX(0,K118+M118-L118))</x:f>
      </x:c>
      <x:c r="O118" s="72"/>
      <x:c r="P118" s="60" t="str">
        <x:f>IF(C118="","",IF(N118=0,"정상",IF(N118&gt;O118*10,"MOQ 과잉 확인","정상")))</x:f>
      </x:c>
      <x:c r="Q118" s="58" t="str"/>
      <x:c r="R118" s="60" t="str">
        <x:f>IF(C118="","",IF(Q118="Y",IF(K118&gt;0,"정상","누락"),"정상"))</x:f>
      </x:c>
      <x:c r="S118" s="66" t="str">
        <x:f>IF(C118="","",IF(N118=0,0,ROUNDUP(N118/O118,0)*O118))</x:f>
      </x:c>
      <x:c r="T118" s="66"/>
      <x:c r="U118" s="66" t="str">
        <x:f>IF(C118="","",S118*T118)</x:f>
      </x:c>
    </x:row>
    <x:row r="119">
      <x:c r="A119" s="69" t="str"/>
      <x:c r="B119" s="69" t="str"/>
      <x:c r="C119" s="58" t="str"/>
      <x:c r="D119" s="58" t="str"/>
      <x:c r="E119" s="58" t="str"/>
      <x:c r="F119" s="70"/>
      <x:c r="G119" s="70"/>
      <x:c r="H119" s="71"/>
      <x:c r="I119" s="72"/>
      <x:c r="J119" s="72"/>
      <x:c r="K119" s="73" t="str">
        <x:f>IF(C119="","",F119*G119*H119*I119+J119)</x:f>
      </x:c>
      <x:c r="L119" s="73"/>
      <x:c r="M119" s="73"/>
      <x:c r="N119" s="73" t="str">
        <x:f>IF(C119="","",MAX(0,K119+M119-L119))</x:f>
      </x:c>
      <x:c r="O119" s="72"/>
      <x:c r="P119" s="60" t="str">
        <x:f>IF(C119="","",IF(N119=0,"정상",IF(N119&gt;O119*10,"MOQ 과잉 확인","정상")))</x:f>
      </x:c>
      <x:c r="Q119" s="58" t="str"/>
      <x:c r="R119" s="60" t="str">
        <x:f>IF(C119="","",IF(Q119="Y",IF(K119&gt;0,"정상","누락"),"정상"))</x:f>
      </x:c>
      <x:c r="S119" s="66" t="str">
        <x:f>IF(C119="","",IF(N119=0,0,ROUNDUP(N119/O119,0)*O119))</x:f>
      </x:c>
      <x:c r="T119" s="66"/>
      <x:c r="U119" s="66" t="str">
        <x:f>IF(C119="","",S119*T119)</x:f>
      </x:c>
    </x:row>
    <x:row r="120">
      <x:c r="A120" s="69" t="str"/>
      <x:c r="B120" s="69" t="str"/>
      <x:c r="C120" s="58" t="str"/>
      <x:c r="D120" s="58" t="str"/>
      <x:c r="E120" s="58" t="str"/>
      <x:c r="F120" s="70"/>
      <x:c r="G120" s="70"/>
      <x:c r="H120" s="71"/>
      <x:c r="I120" s="72"/>
      <x:c r="J120" s="72"/>
      <x:c r="K120" s="73" t="str">
        <x:f>IF(C120="","",F120*G120*H120*I120+J120)</x:f>
      </x:c>
      <x:c r="L120" s="73"/>
      <x:c r="M120" s="73"/>
      <x:c r="N120" s="73" t="str">
        <x:f>IF(C120="","",MAX(0,K120+M120-L120))</x:f>
      </x:c>
      <x:c r="O120" s="72"/>
      <x:c r="P120" s="60" t="str">
        <x:f>IF(C120="","",IF(N120=0,"정상",IF(N120&gt;O120*10,"MOQ 과잉 확인","정상")))</x:f>
      </x:c>
      <x:c r="Q120" s="58" t="str"/>
      <x:c r="R120" s="60" t="str">
        <x:f>IF(C120="","",IF(Q120="Y",IF(K120&gt;0,"정상","누락"),"정상"))</x:f>
      </x:c>
      <x:c r="S120" s="66" t="str">
        <x:f>IF(C120="","",IF(N120=0,0,ROUNDUP(N120/O120,0)*O120))</x:f>
      </x:c>
      <x:c r="T120" s="66"/>
      <x:c r="U120" s="66" t="str">
        <x:f>IF(C120="","",S120*T120)</x:f>
      </x:c>
    </x:row>
    <x:row r="121">
      <x:c r="A121" s="69" t="str"/>
      <x:c r="B121" s="69" t="str"/>
      <x:c r="C121" s="58" t="str"/>
      <x:c r="D121" s="58" t="str"/>
      <x:c r="E121" s="58" t="str"/>
      <x:c r="F121" s="70"/>
      <x:c r="G121" s="70"/>
      <x:c r="H121" s="71"/>
      <x:c r="I121" s="72"/>
      <x:c r="J121" s="72"/>
      <x:c r="K121" s="73" t="str">
        <x:f>IF(C121="","",F121*G121*H121*I121+J121)</x:f>
      </x:c>
      <x:c r="L121" s="73"/>
      <x:c r="M121" s="73"/>
      <x:c r="N121" s="73" t="str">
        <x:f>IF(C121="","",MAX(0,K121+M121-L121))</x:f>
      </x:c>
      <x:c r="O121" s="72"/>
      <x:c r="P121" s="60" t="str">
        <x:f>IF(C121="","",IF(N121=0,"정상",IF(N121&gt;O121*10,"MOQ 과잉 확인","정상")))</x:f>
      </x:c>
      <x:c r="Q121" s="58" t="str"/>
      <x:c r="R121" s="60" t="str">
        <x:f>IF(C121="","",IF(Q121="Y",IF(K121&gt;0,"정상","누락"),"정상"))</x:f>
      </x:c>
      <x:c r="S121" s="66" t="str">
        <x:f>IF(C121="","",IF(N121=0,0,ROUNDUP(N121/O121,0)*O121))</x:f>
      </x:c>
      <x:c r="T121" s="66"/>
      <x:c r="U121" s="66" t="str">
        <x:f>IF(C121="","",S121*T121)</x:f>
      </x:c>
    </x:row>
    <x:row r="122">
      <x:c r="A122" s="69" t="str"/>
      <x:c r="B122" s="69" t="str"/>
      <x:c r="C122" s="58" t="str"/>
      <x:c r="D122" s="58" t="str"/>
      <x:c r="E122" s="58" t="str"/>
      <x:c r="F122" s="70"/>
      <x:c r="G122" s="70"/>
      <x:c r="H122" s="71"/>
      <x:c r="I122" s="72"/>
      <x:c r="J122" s="72"/>
      <x:c r="K122" s="73" t="str">
        <x:f>IF(C122="","",F122*G122*H122*I122+J122)</x:f>
      </x:c>
      <x:c r="L122" s="73"/>
      <x:c r="M122" s="73"/>
      <x:c r="N122" s="73" t="str">
        <x:f>IF(C122="","",MAX(0,K122+M122-L122))</x:f>
      </x:c>
      <x:c r="O122" s="72"/>
      <x:c r="P122" s="60" t="str">
        <x:f>IF(C122="","",IF(N122=0,"정상",IF(N122&gt;O122*10,"MOQ 과잉 확인","정상")))</x:f>
      </x:c>
      <x:c r="Q122" s="58" t="str"/>
      <x:c r="R122" s="60" t="str">
        <x:f>IF(C122="","",IF(Q122="Y",IF(K122&gt;0,"정상","누락"),"정상"))</x:f>
      </x:c>
      <x:c r="S122" s="66" t="str">
        <x:f>IF(C122="","",IF(N122=0,0,ROUNDUP(N122/O122,0)*O122))</x:f>
      </x:c>
      <x:c r="T122" s="66"/>
      <x:c r="U122" s="66" t="str">
        <x:f>IF(C122="","",S122*T122)</x:f>
      </x:c>
    </x:row>
    <x:row r="123">
      <x:c r="A123" s="69" t="str"/>
      <x:c r="B123" s="69" t="str"/>
      <x:c r="C123" s="58" t="str"/>
      <x:c r="D123" s="58" t="str"/>
      <x:c r="E123" s="58" t="str"/>
      <x:c r="F123" s="70"/>
      <x:c r="G123" s="70"/>
      <x:c r="H123" s="71"/>
      <x:c r="I123" s="72"/>
      <x:c r="J123" s="72"/>
      <x:c r="K123" s="73" t="str">
        <x:f>IF(C123="","",F123*G123*H123*I123+J123)</x:f>
      </x:c>
      <x:c r="L123" s="73"/>
      <x:c r="M123" s="73"/>
      <x:c r="N123" s="73" t="str">
        <x:f>IF(C123="","",MAX(0,K123+M123-L123))</x:f>
      </x:c>
      <x:c r="O123" s="72"/>
      <x:c r="P123" s="60" t="str">
        <x:f>IF(C123="","",IF(N123=0,"정상",IF(N123&gt;O123*10,"MOQ 과잉 확인","정상")))</x:f>
      </x:c>
      <x:c r="Q123" s="58" t="str"/>
      <x:c r="R123" s="60" t="str">
        <x:f>IF(C123="","",IF(Q123="Y",IF(K123&gt;0,"정상","누락"),"정상"))</x:f>
      </x:c>
      <x:c r="S123" s="66" t="str">
        <x:f>IF(C123="","",IF(N123=0,0,ROUNDUP(N123/O123,0)*O123))</x:f>
      </x:c>
      <x:c r="T123" s="66"/>
      <x:c r="U123" s="66" t="str">
        <x:f>IF(C123="","",S123*T123)</x:f>
      </x:c>
    </x:row>
    <x:row r="124">
      <x:c r="A124" s="69" t="str"/>
      <x:c r="B124" s="69" t="str"/>
      <x:c r="C124" s="58" t="str"/>
      <x:c r="D124" s="58" t="str"/>
      <x:c r="E124" s="58" t="str"/>
      <x:c r="F124" s="70"/>
      <x:c r="G124" s="70"/>
      <x:c r="H124" s="71"/>
      <x:c r="I124" s="72"/>
      <x:c r="J124" s="72"/>
      <x:c r="K124" s="73" t="str">
        <x:f>IF(C124="","",F124*G124*H124*I124+J124)</x:f>
      </x:c>
      <x:c r="L124" s="73"/>
      <x:c r="M124" s="73"/>
      <x:c r="N124" s="73" t="str">
        <x:f>IF(C124="","",MAX(0,K124+M124-L124))</x:f>
      </x:c>
      <x:c r="O124" s="72"/>
      <x:c r="P124" s="60" t="str">
        <x:f>IF(C124="","",IF(N124=0,"정상",IF(N124&gt;O124*10,"MOQ 과잉 확인","정상")))</x:f>
      </x:c>
      <x:c r="Q124" s="58" t="str"/>
      <x:c r="R124" s="60" t="str">
        <x:f>IF(C124="","",IF(Q124="Y",IF(K124&gt;0,"정상","누락"),"정상"))</x:f>
      </x:c>
      <x:c r="S124" s="66" t="str">
        <x:f>IF(C124="","",IF(N124=0,0,ROUNDUP(N124/O124,0)*O124))</x:f>
      </x:c>
      <x:c r="T124" s="66"/>
      <x:c r="U124" s="66" t="str">
        <x:f>IF(C124="","",S124*T124)</x:f>
      </x:c>
    </x:row>
    <x:row r="125">
      <x:c r="A125" s="69" t="str"/>
      <x:c r="B125" s="69" t="str"/>
      <x:c r="C125" s="58" t="str"/>
      <x:c r="D125" s="58" t="str"/>
      <x:c r="E125" s="58" t="str"/>
      <x:c r="F125" s="70"/>
      <x:c r="G125" s="70"/>
      <x:c r="H125" s="71"/>
      <x:c r="I125" s="72"/>
      <x:c r="J125" s="72"/>
      <x:c r="K125" s="73" t="str">
        <x:f>IF(C125="","",F125*G125*H125*I125+J125)</x:f>
      </x:c>
      <x:c r="L125" s="73"/>
      <x:c r="M125" s="73"/>
      <x:c r="N125" s="73" t="str">
        <x:f>IF(C125="","",MAX(0,K125+M125-L125))</x:f>
      </x:c>
      <x:c r="O125" s="72"/>
      <x:c r="P125" s="60" t="str">
        <x:f>IF(C125="","",IF(N125=0,"정상",IF(N125&gt;O125*10,"MOQ 과잉 확인","정상")))</x:f>
      </x:c>
      <x:c r="Q125" s="58" t="str"/>
      <x:c r="R125" s="60" t="str">
        <x:f>IF(C125="","",IF(Q125="Y",IF(K125&gt;0,"정상","누락"),"정상"))</x:f>
      </x:c>
      <x:c r="S125" s="66" t="str">
        <x:f>IF(C125="","",IF(N125=0,0,ROUNDUP(N125/O125,0)*O125))</x:f>
      </x:c>
      <x:c r="T125" s="66"/>
      <x:c r="U125" s="66" t="str">
        <x:f>IF(C125="","",S125*T125)</x:f>
      </x:c>
    </x:row>
    <x:row r="126">
      <x:c r="A126" s="69" t="str"/>
      <x:c r="B126" s="69" t="str"/>
      <x:c r="C126" s="58" t="str"/>
      <x:c r="D126" s="58" t="str"/>
      <x:c r="E126" s="58" t="str"/>
      <x:c r="F126" s="70"/>
      <x:c r="G126" s="70"/>
      <x:c r="H126" s="71"/>
      <x:c r="I126" s="72"/>
      <x:c r="J126" s="72"/>
      <x:c r="K126" s="73" t="str">
        <x:f>IF(C126="","",F126*G126*H126*I126+J126)</x:f>
      </x:c>
      <x:c r="L126" s="73"/>
      <x:c r="M126" s="73"/>
      <x:c r="N126" s="73" t="str">
        <x:f>IF(C126="","",MAX(0,K126+M126-L126))</x:f>
      </x:c>
      <x:c r="O126" s="72"/>
      <x:c r="P126" s="60" t="str">
        <x:f>IF(C126="","",IF(N126=0,"정상",IF(N126&gt;O126*10,"MOQ 과잉 확인","정상")))</x:f>
      </x:c>
      <x:c r="Q126" s="58" t="str"/>
      <x:c r="R126" s="60" t="str">
        <x:f>IF(C126="","",IF(Q126="Y",IF(K126&gt;0,"정상","누락"),"정상"))</x:f>
      </x:c>
      <x:c r="S126" s="66" t="str">
        <x:f>IF(C126="","",IF(N126=0,0,ROUNDUP(N126/O126,0)*O126))</x:f>
      </x:c>
      <x:c r="T126" s="66"/>
      <x:c r="U126" s="66" t="str">
        <x:f>IF(C126="","",S126*T126)</x:f>
      </x:c>
    </x:row>
    <x:row r="127">
      <x:c r="A127" s="69" t="str"/>
      <x:c r="B127" s="69" t="str"/>
      <x:c r="C127" s="58" t="str"/>
      <x:c r="D127" s="58" t="str"/>
      <x:c r="E127" s="58" t="str"/>
      <x:c r="F127" s="70"/>
      <x:c r="G127" s="70"/>
      <x:c r="H127" s="71"/>
      <x:c r="I127" s="72"/>
      <x:c r="J127" s="72"/>
      <x:c r="K127" s="73" t="str">
        <x:f>IF(C127="","",F127*G127*H127*I127+J127)</x:f>
      </x:c>
      <x:c r="L127" s="73"/>
      <x:c r="M127" s="73"/>
      <x:c r="N127" s="73" t="str">
        <x:f>IF(C127="","",MAX(0,K127+M127-L127))</x:f>
      </x:c>
      <x:c r="O127" s="72"/>
      <x:c r="P127" s="60" t="str">
        <x:f>IF(C127="","",IF(N127=0,"정상",IF(N127&gt;O127*10,"MOQ 과잉 확인","정상")))</x:f>
      </x:c>
      <x:c r="Q127" s="58" t="str"/>
      <x:c r="R127" s="60" t="str">
        <x:f>IF(C127="","",IF(Q127="Y",IF(K127&gt;0,"정상","누락"),"정상"))</x:f>
      </x:c>
      <x:c r="S127" s="66" t="str">
        <x:f>IF(C127="","",IF(N127=0,0,ROUNDUP(N127/O127,0)*O127))</x:f>
      </x:c>
      <x:c r="T127" s="66"/>
      <x:c r="U127" s="66" t="str">
        <x:f>IF(C127="","",S127*T127)</x:f>
      </x:c>
    </x:row>
    <x:row r="128">
      <x:c r="A128" s="69" t="str"/>
      <x:c r="B128" s="69" t="str"/>
      <x:c r="C128" s="58" t="str"/>
      <x:c r="D128" s="58" t="str"/>
      <x:c r="E128" s="58" t="str"/>
      <x:c r="F128" s="70"/>
      <x:c r="G128" s="70"/>
      <x:c r="H128" s="71"/>
      <x:c r="I128" s="72"/>
      <x:c r="J128" s="72"/>
      <x:c r="K128" s="73" t="str">
        <x:f>IF(C128="","",F128*G128*H128*I128+J128)</x:f>
      </x:c>
      <x:c r="L128" s="73"/>
      <x:c r="M128" s="73"/>
      <x:c r="N128" s="73" t="str">
        <x:f>IF(C128="","",MAX(0,K128+M128-L128))</x:f>
      </x:c>
      <x:c r="O128" s="72"/>
      <x:c r="P128" s="60" t="str">
        <x:f>IF(C128="","",IF(N128=0,"정상",IF(N128&gt;O128*10,"MOQ 과잉 확인","정상")))</x:f>
      </x:c>
      <x:c r="Q128" s="58" t="str"/>
      <x:c r="R128" s="60" t="str">
        <x:f>IF(C128="","",IF(Q128="Y",IF(K128&gt;0,"정상","누락"),"정상"))</x:f>
      </x:c>
      <x:c r="S128" s="66" t="str">
        <x:f>IF(C128="","",IF(N128=0,0,ROUNDUP(N128/O128,0)*O128))</x:f>
      </x:c>
      <x:c r="T128" s="66"/>
      <x:c r="U128" s="66" t="str">
        <x:f>IF(C128="","",S128*T128)</x:f>
      </x:c>
    </x:row>
    <x:row r="129">
      <x:c r="A129" s="69" t="str"/>
      <x:c r="B129" s="69" t="str"/>
      <x:c r="C129" s="58" t="str"/>
      <x:c r="D129" s="58" t="str"/>
      <x:c r="E129" s="58" t="str"/>
      <x:c r="F129" s="70"/>
      <x:c r="G129" s="70"/>
      <x:c r="H129" s="71"/>
      <x:c r="I129" s="72"/>
      <x:c r="J129" s="72"/>
      <x:c r="K129" s="73" t="str">
        <x:f>IF(C129="","",F129*G129*H129*I129+J129)</x:f>
      </x:c>
      <x:c r="L129" s="73"/>
      <x:c r="M129" s="73"/>
      <x:c r="N129" s="73" t="str">
        <x:f>IF(C129="","",MAX(0,K129+M129-L129))</x:f>
      </x:c>
      <x:c r="O129" s="72"/>
      <x:c r="P129" s="60" t="str">
        <x:f>IF(C129="","",IF(N129=0,"정상",IF(N129&gt;O129*10,"MOQ 과잉 확인","정상")))</x:f>
      </x:c>
      <x:c r="Q129" s="58" t="str"/>
      <x:c r="R129" s="60" t="str">
        <x:f>IF(C129="","",IF(Q129="Y",IF(K129&gt;0,"정상","누락"),"정상"))</x:f>
      </x:c>
      <x:c r="S129" s="66" t="str">
        <x:f>IF(C129="","",IF(N129=0,0,ROUNDUP(N129/O129,0)*O129))</x:f>
      </x:c>
      <x:c r="T129" s="66"/>
      <x:c r="U129" s="66" t="str">
        <x:f>IF(C129="","",S129*T129)</x:f>
      </x:c>
    </x:row>
    <x:row r="130">
      <x:c r="A130" s="69" t="str"/>
      <x:c r="B130" s="69" t="str"/>
      <x:c r="C130" s="58" t="str"/>
      <x:c r="D130" s="58" t="str"/>
      <x:c r="E130" s="58" t="str"/>
      <x:c r="F130" s="70"/>
      <x:c r="G130" s="70"/>
      <x:c r="H130" s="71"/>
      <x:c r="I130" s="72"/>
      <x:c r="J130" s="72"/>
      <x:c r="K130" s="73" t="str">
        <x:f>IF(C130="","",F130*G130*H130*I130+J130)</x:f>
      </x:c>
      <x:c r="L130" s="73"/>
      <x:c r="M130" s="73"/>
      <x:c r="N130" s="73" t="str">
        <x:f>IF(C130="","",MAX(0,K130+M130-L130))</x:f>
      </x:c>
      <x:c r="O130" s="72"/>
      <x:c r="P130" s="60" t="str">
        <x:f>IF(C130="","",IF(N130=0,"정상",IF(N130&gt;O130*10,"MOQ 과잉 확인","정상")))</x:f>
      </x:c>
      <x:c r="Q130" s="58" t="str"/>
      <x:c r="R130" s="60" t="str">
        <x:f>IF(C130="","",IF(Q130="Y",IF(K130&gt;0,"정상","누락"),"정상"))</x:f>
      </x:c>
      <x:c r="S130" s="66" t="str">
        <x:f>IF(C130="","",IF(N130=0,0,ROUNDUP(N130/O130,0)*O130))</x:f>
      </x:c>
      <x:c r="T130" s="66"/>
      <x:c r="U130" s="66" t="str">
        <x:f>IF(C130="","",S130*T130)</x:f>
      </x:c>
    </x:row>
    <x:row r="131">
      <x:c r="A131" s="69" t="str"/>
      <x:c r="B131" s="69" t="str"/>
      <x:c r="C131" s="58" t="str"/>
      <x:c r="D131" s="58" t="str"/>
      <x:c r="E131" s="58" t="str"/>
      <x:c r="F131" s="70"/>
      <x:c r="G131" s="70"/>
      <x:c r="H131" s="71"/>
      <x:c r="I131" s="72"/>
      <x:c r="J131" s="72"/>
      <x:c r="K131" s="73" t="str">
        <x:f>IF(C131="","",F131*G131*H131*I131+J131)</x:f>
      </x:c>
      <x:c r="L131" s="73"/>
      <x:c r="M131" s="73"/>
      <x:c r="N131" s="73" t="str">
        <x:f>IF(C131="","",MAX(0,K131+M131-L131))</x:f>
      </x:c>
      <x:c r="O131" s="72"/>
      <x:c r="P131" s="60" t="str">
        <x:f>IF(C131="","",IF(N131=0,"정상",IF(N131&gt;O131*10,"MOQ 과잉 확인","정상")))</x:f>
      </x:c>
      <x:c r="Q131" s="58" t="str"/>
      <x:c r="R131" s="60" t="str">
        <x:f>IF(C131="","",IF(Q131="Y",IF(K131&gt;0,"정상","누락"),"정상"))</x:f>
      </x:c>
      <x:c r="S131" s="66" t="str">
        <x:f>IF(C131="","",IF(N131=0,0,ROUNDUP(N131/O131,0)*O131))</x:f>
      </x:c>
      <x:c r="T131" s="66"/>
      <x:c r="U131" s="66" t="str">
        <x:f>IF(C131="","",S131*T131)</x:f>
      </x:c>
    </x:row>
    <x:row r="132">
      <x:c r="A132" s="69" t="str"/>
      <x:c r="B132" s="69" t="str"/>
      <x:c r="C132" s="58" t="str"/>
      <x:c r="D132" s="58" t="str"/>
      <x:c r="E132" s="58" t="str"/>
      <x:c r="F132" s="70"/>
      <x:c r="G132" s="70"/>
      <x:c r="H132" s="71"/>
      <x:c r="I132" s="72"/>
      <x:c r="J132" s="72"/>
      <x:c r="K132" s="73" t="str">
        <x:f>IF(C132="","",F132*G132*H132*I132+J132)</x:f>
      </x:c>
      <x:c r="L132" s="73"/>
      <x:c r="M132" s="73"/>
      <x:c r="N132" s="73" t="str">
        <x:f>IF(C132="","",MAX(0,K132+M132-L132))</x:f>
      </x:c>
      <x:c r="O132" s="72"/>
      <x:c r="P132" s="60" t="str">
        <x:f>IF(C132="","",IF(N132=0,"정상",IF(N132&gt;O132*10,"MOQ 과잉 확인","정상")))</x:f>
      </x:c>
      <x:c r="Q132" s="58" t="str"/>
      <x:c r="R132" s="60" t="str">
        <x:f>IF(C132="","",IF(Q132="Y",IF(K132&gt;0,"정상","누락"),"정상"))</x:f>
      </x:c>
      <x:c r="S132" s="66" t="str">
        <x:f>IF(C132="","",IF(N132=0,0,ROUNDUP(N132/O132,0)*O132))</x:f>
      </x:c>
      <x:c r="T132" s="66"/>
      <x:c r="U132" s="66" t="str">
        <x:f>IF(C132="","",S132*T132)</x:f>
      </x:c>
    </x:row>
    <x:row r="133">
      <x:c r="A133" s="69" t="str"/>
      <x:c r="B133" s="69" t="str"/>
      <x:c r="C133" s="58" t="str"/>
      <x:c r="D133" s="58" t="str"/>
      <x:c r="E133" s="58" t="str"/>
      <x:c r="F133" s="70"/>
      <x:c r="G133" s="70"/>
      <x:c r="H133" s="71"/>
      <x:c r="I133" s="72"/>
      <x:c r="J133" s="72"/>
      <x:c r="K133" s="73" t="str">
        <x:f>IF(C133="","",F133*G133*H133*I133+J133)</x:f>
      </x:c>
      <x:c r="L133" s="73"/>
      <x:c r="M133" s="73"/>
      <x:c r="N133" s="73" t="str">
        <x:f>IF(C133="","",MAX(0,K133+M133-L133))</x:f>
      </x:c>
      <x:c r="O133" s="72"/>
      <x:c r="P133" s="60" t="str">
        <x:f>IF(C133="","",IF(N133=0,"정상",IF(N133&gt;O133*10,"MOQ 과잉 확인","정상")))</x:f>
      </x:c>
      <x:c r="Q133" s="58" t="str"/>
      <x:c r="R133" s="60" t="str">
        <x:f>IF(C133="","",IF(Q133="Y",IF(K133&gt;0,"정상","누락"),"정상"))</x:f>
      </x:c>
      <x:c r="S133" s="66" t="str">
        <x:f>IF(C133="","",IF(N133=0,0,ROUNDUP(N133/O133,0)*O133))</x:f>
      </x:c>
      <x:c r="T133" s="66"/>
      <x:c r="U133" s="66" t="str">
        <x:f>IF(C133="","",S133*T133)</x:f>
      </x:c>
    </x:row>
    <x:row r="134">
      <x:c r="A134" s="69" t="str"/>
      <x:c r="B134" s="69" t="str"/>
      <x:c r="C134" s="58" t="str"/>
      <x:c r="D134" s="58" t="str"/>
      <x:c r="E134" s="58" t="str"/>
      <x:c r="F134" s="70"/>
      <x:c r="G134" s="70"/>
      <x:c r="H134" s="71"/>
      <x:c r="I134" s="72"/>
      <x:c r="J134" s="72"/>
      <x:c r="K134" s="73" t="str">
        <x:f>IF(C134="","",F134*G134*H134*I134+J134)</x:f>
      </x:c>
      <x:c r="L134" s="73"/>
      <x:c r="M134" s="73"/>
      <x:c r="N134" s="73" t="str">
        <x:f>IF(C134="","",MAX(0,K134+M134-L134))</x:f>
      </x:c>
      <x:c r="O134" s="72"/>
      <x:c r="P134" s="60" t="str">
        <x:f>IF(C134="","",IF(N134=0,"정상",IF(N134&gt;O134*10,"MOQ 과잉 확인","정상")))</x:f>
      </x:c>
      <x:c r="Q134" s="58" t="str"/>
      <x:c r="R134" s="60" t="str">
        <x:f>IF(C134="","",IF(Q134="Y",IF(K134&gt;0,"정상","누락"),"정상"))</x:f>
      </x:c>
      <x:c r="S134" s="66" t="str">
        <x:f>IF(C134="","",IF(N134=0,0,ROUNDUP(N134/O134,0)*O134))</x:f>
      </x:c>
      <x:c r="T134" s="66"/>
      <x:c r="U134" s="66" t="str">
        <x:f>IF(C134="","",S134*T134)</x:f>
      </x:c>
    </x:row>
    <x:row r="135">
      <x:c r="A135" s="69" t="str"/>
      <x:c r="B135" s="69" t="str"/>
      <x:c r="C135" s="58" t="str"/>
      <x:c r="D135" s="58" t="str"/>
      <x:c r="E135" s="58" t="str"/>
      <x:c r="F135" s="70"/>
      <x:c r="G135" s="70"/>
      <x:c r="H135" s="71"/>
      <x:c r="I135" s="72"/>
      <x:c r="J135" s="72"/>
      <x:c r="K135" s="73" t="str">
        <x:f>IF(C135="","",F135*G135*H135*I135+J135)</x:f>
      </x:c>
      <x:c r="L135" s="73"/>
      <x:c r="M135" s="73"/>
      <x:c r="N135" s="73" t="str">
        <x:f>IF(C135="","",MAX(0,K135+M135-L135))</x:f>
      </x:c>
      <x:c r="O135" s="72"/>
      <x:c r="P135" s="60" t="str">
        <x:f>IF(C135="","",IF(N135=0,"정상",IF(N135&gt;O135*10,"MOQ 과잉 확인","정상")))</x:f>
      </x:c>
      <x:c r="Q135" s="58" t="str"/>
      <x:c r="R135" s="60" t="str">
        <x:f>IF(C135="","",IF(Q135="Y",IF(K135&gt;0,"정상","누락"),"정상"))</x:f>
      </x:c>
      <x:c r="S135" s="66" t="str">
        <x:f>IF(C135="","",IF(N135=0,0,ROUNDUP(N135/O135,0)*O135))</x:f>
      </x:c>
      <x:c r="T135" s="66"/>
      <x:c r="U135" s="66" t="str">
        <x:f>IF(C135="","",S135*T135)</x:f>
      </x:c>
    </x:row>
    <x:row r="136">
      <x:c r="A136" s="69" t="str"/>
      <x:c r="B136" s="69" t="str"/>
      <x:c r="C136" s="58" t="str"/>
      <x:c r="D136" s="58" t="str"/>
      <x:c r="E136" s="58" t="str"/>
      <x:c r="F136" s="70"/>
      <x:c r="G136" s="70"/>
      <x:c r="H136" s="71"/>
      <x:c r="I136" s="72"/>
      <x:c r="J136" s="72"/>
      <x:c r="K136" s="73" t="str">
        <x:f>IF(C136="","",F136*G136*H136*I136+J136)</x:f>
      </x:c>
      <x:c r="L136" s="73"/>
      <x:c r="M136" s="73"/>
      <x:c r="N136" s="73" t="str">
        <x:f>IF(C136="","",MAX(0,K136+M136-L136))</x:f>
      </x:c>
      <x:c r="O136" s="72"/>
      <x:c r="P136" s="60" t="str">
        <x:f>IF(C136="","",IF(N136=0,"정상",IF(N136&gt;O136*10,"MOQ 과잉 확인","정상")))</x:f>
      </x:c>
      <x:c r="Q136" s="58" t="str"/>
      <x:c r="R136" s="60" t="str">
        <x:f>IF(C136="","",IF(Q136="Y",IF(K136&gt;0,"정상","누락"),"정상"))</x:f>
      </x:c>
      <x:c r="S136" s="66" t="str">
        <x:f>IF(C136="","",IF(N136=0,0,ROUNDUP(N136/O136,0)*O136))</x:f>
      </x:c>
      <x:c r="T136" s="66"/>
      <x:c r="U136" s="66" t="str">
        <x:f>IF(C136="","",S136*T136)</x:f>
      </x:c>
    </x:row>
    <x:row r="137">
      <x:c r="A137" s="69" t="str"/>
      <x:c r="B137" s="69" t="str"/>
      <x:c r="C137" s="58" t="str"/>
      <x:c r="D137" s="58" t="str"/>
      <x:c r="E137" s="58" t="str"/>
      <x:c r="F137" s="70"/>
      <x:c r="G137" s="70"/>
      <x:c r="H137" s="71"/>
      <x:c r="I137" s="72"/>
      <x:c r="J137" s="72"/>
      <x:c r="K137" s="73" t="str">
        <x:f>IF(C137="","",F137*G137*H137*I137+J137)</x:f>
      </x:c>
      <x:c r="L137" s="73"/>
      <x:c r="M137" s="73"/>
      <x:c r="N137" s="73" t="str">
        <x:f>IF(C137="","",MAX(0,K137+M137-L137))</x:f>
      </x:c>
      <x:c r="O137" s="72"/>
      <x:c r="P137" s="60" t="str">
        <x:f>IF(C137="","",IF(N137=0,"정상",IF(N137&gt;O137*10,"MOQ 과잉 확인","정상")))</x:f>
      </x:c>
      <x:c r="Q137" s="58" t="str"/>
      <x:c r="R137" s="60" t="str">
        <x:f>IF(C137="","",IF(Q137="Y",IF(K137&gt;0,"정상","누락"),"정상"))</x:f>
      </x:c>
      <x:c r="S137" s="66" t="str">
        <x:f>IF(C137="","",IF(N137=0,0,ROUNDUP(N137/O137,0)*O137))</x:f>
      </x:c>
      <x:c r="T137" s="66"/>
      <x:c r="U137" s="66" t="str">
        <x:f>IF(C137="","",S137*T137)</x:f>
      </x:c>
    </x:row>
    <x:row r="138">
      <x:c r="A138" s="69" t="str"/>
      <x:c r="B138" s="69" t="str"/>
      <x:c r="C138" s="58" t="str"/>
      <x:c r="D138" s="58" t="str"/>
      <x:c r="E138" s="58" t="str"/>
      <x:c r="F138" s="70"/>
      <x:c r="G138" s="70"/>
      <x:c r="H138" s="71"/>
      <x:c r="I138" s="72"/>
      <x:c r="J138" s="72"/>
      <x:c r="K138" s="73" t="str">
        <x:f>IF(C138="","",F138*G138*H138*I138+J138)</x:f>
      </x:c>
      <x:c r="L138" s="73"/>
      <x:c r="M138" s="73"/>
      <x:c r="N138" s="73" t="str">
        <x:f>IF(C138="","",MAX(0,K138+M138-L138))</x:f>
      </x:c>
      <x:c r="O138" s="72"/>
      <x:c r="P138" s="60" t="str">
        <x:f>IF(C138="","",IF(N138=0,"정상",IF(N138&gt;O138*10,"MOQ 과잉 확인","정상")))</x:f>
      </x:c>
      <x:c r="Q138" s="58" t="str"/>
      <x:c r="R138" s="60" t="str">
        <x:f>IF(C138="","",IF(Q138="Y",IF(K138&gt;0,"정상","누락"),"정상"))</x:f>
      </x:c>
      <x:c r="S138" s="66" t="str">
        <x:f>IF(C138="","",IF(N138=0,0,ROUNDUP(N138/O138,0)*O138))</x:f>
      </x:c>
      <x:c r="T138" s="66"/>
      <x:c r="U138" s="66" t="str">
        <x:f>IF(C138="","",S138*T138)</x:f>
      </x:c>
    </x:row>
    <x:row r="139">
      <x:c r="A139" s="69" t="str"/>
      <x:c r="B139" s="69" t="str"/>
      <x:c r="C139" s="58" t="str"/>
      <x:c r="D139" s="58" t="str"/>
      <x:c r="E139" s="58" t="str"/>
      <x:c r="F139" s="70"/>
      <x:c r="G139" s="70"/>
      <x:c r="H139" s="71"/>
      <x:c r="I139" s="72"/>
      <x:c r="J139" s="72"/>
      <x:c r="K139" s="73" t="str">
        <x:f>IF(C139="","",F139*G139*H139*I139+J139)</x:f>
      </x:c>
      <x:c r="L139" s="73"/>
      <x:c r="M139" s="73"/>
      <x:c r="N139" s="73" t="str">
        <x:f>IF(C139="","",MAX(0,K139+M139-L139))</x:f>
      </x:c>
      <x:c r="O139" s="72"/>
      <x:c r="P139" s="60" t="str">
        <x:f>IF(C139="","",IF(N139=0,"정상",IF(N139&gt;O139*10,"MOQ 과잉 확인","정상")))</x:f>
      </x:c>
      <x:c r="Q139" s="58" t="str"/>
      <x:c r="R139" s="60" t="str">
        <x:f>IF(C139="","",IF(Q139="Y",IF(K139&gt;0,"정상","누락"),"정상"))</x:f>
      </x:c>
      <x:c r="S139" s="66" t="str">
        <x:f>IF(C139="","",IF(N139=0,0,ROUNDUP(N139/O139,0)*O139))</x:f>
      </x:c>
      <x:c r="T139" s="66"/>
      <x:c r="U139" s="66" t="str">
        <x:f>IF(C139="","",S139*T139)</x:f>
      </x:c>
    </x:row>
    <x:row r="140">
      <x:c r="A140" s="69" t="str"/>
      <x:c r="B140" s="69" t="str"/>
      <x:c r="C140" s="58" t="str"/>
      <x:c r="D140" s="58" t="str"/>
      <x:c r="E140" s="58" t="str"/>
      <x:c r="F140" s="70"/>
      <x:c r="G140" s="70"/>
      <x:c r="H140" s="71"/>
      <x:c r="I140" s="72"/>
      <x:c r="J140" s="72"/>
      <x:c r="K140" s="73" t="str">
        <x:f>IF(C140="","",F140*G140*H140*I140+J140)</x:f>
      </x:c>
      <x:c r="L140" s="73"/>
      <x:c r="M140" s="73"/>
      <x:c r="N140" s="73" t="str">
        <x:f>IF(C140="","",MAX(0,K140+M140-L140))</x:f>
      </x:c>
      <x:c r="O140" s="72"/>
      <x:c r="P140" s="60" t="str">
        <x:f>IF(C140="","",IF(N140=0,"정상",IF(N140&gt;O140*10,"MOQ 과잉 확인","정상")))</x:f>
      </x:c>
      <x:c r="Q140" s="58" t="str"/>
      <x:c r="R140" s="60" t="str">
        <x:f>IF(C140="","",IF(Q140="Y",IF(K140&gt;0,"정상","누락"),"정상"))</x:f>
      </x:c>
      <x:c r="S140" s="66" t="str">
        <x:f>IF(C140="","",IF(N140=0,0,ROUNDUP(N140/O140,0)*O140))</x:f>
      </x:c>
      <x:c r="T140" s="66"/>
      <x:c r="U140" s="66" t="str">
        <x:f>IF(C140="","",S140*T140)</x:f>
      </x:c>
    </x:row>
    <x:row r="141">
      <x:c r="A141" s="69" t="str"/>
      <x:c r="B141" s="69" t="str"/>
      <x:c r="C141" s="58" t="str"/>
      <x:c r="D141" s="58" t="str"/>
      <x:c r="E141" s="58" t="str"/>
      <x:c r="F141" s="70"/>
      <x:c r="G141" s="70"/>
      <x:c r="H141" s="71"/>
      <x:c r="I141" s="72"/>
      <x:c r="J141" s="72"/>
      <x:c r="K141" s="73" t="str">
        <x:f>IF(C141="","",F141*G141*H141*I141+J141)</x:f>
      </x:c>
      <x:c r="L141" s="73"/>
      <x:c r="M141" s="73"/>
      <x:c r="N141" s="73" t="str">
        <x:f>IF(C141="","",MAX(0,K141+M141-L141))</x:f>
      </x:c>
      <x:c r="O141" s="72"/>
      <x:c r="P141" s="60" t="str">
        <x:f>IF(C141="","",IF(N141=0,"정상",IF(N141&gt;O141*10,"MOQ 과잉 확인","정상")))</x:f>
      </x:c>
      <x:c r="Q141" s="58" t="str"/>
      <x:c r="R141" s="60" t="str">
        <x:f>IF(C141="","",IF(Q141="Y",IF(K141&gt;0,"정상","누락"),"정상"))</x:f>
      </x:c>
      <x:c r="S141" s="66" t="str">
        <x:f>IF(C141="","",IF(N141=0,0,ROUNDUP(N141/O141,0)*O141))</x:f>
      </x:c>
      <x:c r="T141" s="66"/>
      <x:c r="U141" s="66" t="str">
        <x:f>IF(C141="","",S141*T141)</x:f>
      </x:c>
    </x:row>
    <x:row r="142">
      <x:c r="A142" s="69" t="str"/>
      <x:c r="B142" s="69" t="str"/>
      <x:c r="C142" s="58" t="str"/>
      <x:c r="D142" s="58" t="str"/>
      <x:c r="E142" s="58" t="str"/>
      <x:c r="F142" s="70"/>
      <x:c r="G142" s="70"/>
      <x:c r="H142" s="71"/>
      <x:c r="I142" s="72"/>
      <x:c r="J142" s="72"/>
      <x:c r="K142" s="73" t="str">
        <x:f>IF(C142="","",F142*G142*H142*I142+J142)</x:f>
      </x:c>
      <x:c r="L142" s="73"/>
      <x:c r="M142" s="73"/>
      <x:c r="N142" s="73" t="str">
        <x:f>IF(C142="","",MAX(0,K142+M142-L142))</x:f>
      </x:c>
      <x:c r="O142" s="72"/>
      <x:c r="P142" s="60" t="str">
        <x:f>IF(C142="","",IF(N142=0,"정상",IF(N142&gt;O142*10,"MOQ 과잉 확인","정상")))</x:f>
      </x:c>
      <x:c r="Q142" s="58" t="str"/>
      <x:c r="R142" s="60" t="str">
        <x:f>IF(C142="","",IF(Q142="Y",IF(K142&gt;0,"정상","누락"),"정상"))</x:f>
      </x:c>
      <x:c r="S142" s="66" t="str">
        <x:f>IF(C142="","",IF(N142=0,0,ROUNDUP(N142/O142,0)*O142))</x:f>
      </x:c>
      <x:c r="T142" s="66"/>
      <x:c r="U142" s="66" t="str">
        <x:f>IF(C142="","",S142*T142)</x:f>
      </x:c>
    </x:row>
    <x:row r="143">
      <x:c r="A143" s="69" t="str"/>
      <x:c r="B143" s="69" t="str"/>
      <x:c r="C143" s="58" t="str"/>
      <x:c r="D143" s="58" t="str"/>
      <x:c r="E143" s="58" t="str"/>
      <x:c r="F143" s="70"/>
      <x:c r="G143" s="70"/>
      <x:c r="H143" s="71"/>
      <x:c r="I143" s="72"/>
      <x:c r="J143" s="72"/>
      <x:c r="K143" s="73" t="str">
        <x:f>IF(C143="","",F143*G143*H143*I143+J143)</x:f>
      </x:c>
      <x:c r="L143" s="73"/>
      <x:c r="M143" s="73"/>
      <x:c r="N143" s="73" t="str">
        <x:f>IF(C143="","",MAX(0,K143+M143-L143))</x:f>
      </x:c>
      <x:c r="O143" s="72"/>
      <x:c r="P143" s="60" t="str">
        <x:f>IF(C143="","",IF(N143=0,"정상",IF(N143&gt;O143*10,"MOQ 과잉 확인","정상")))</x:f>
      </x:c>
      <x:c r="Q143" s="58" t="str"/>
      <x:c r="R143" s="60" t="str">
        <x:f>IF(C143="","",IF(Q143="Y",IF(K143&gt;0,"정상","누락"),"정상"))</x:f>
      </x:c>
      <x:c r="S143" s="66" t="str">
        <x:f>IF(C143="","",IF(N143=0,0,ROUNDUP(N143/O143,0)*O143))</x:f>
      </x:c>
      <x:c r="T143" s="66"/>
      <x:c r="U143" s="66" t="str">
        <x:f>IF(C143="","",S143*T143)</x:f>
      </x:c>
    </x:row>
    <x:row r="144">
      <x:c r="A144" s="69" t="str"/>
      <x:c r="B144" s="69" t="str"/>
      <x:c r="C144" s="58" t="str"/>
      <x:c r="D144" s="58" t="str"/>
      <x:c r="E144" s="58" t="str"/>
      <x:c r="F144" s="70"/>
      <x:c r="G144" s="70"/>
      <x:c r="H144" s="71"/>
      <x:c r="I144" s="72"/>
      <x:c r="J144" s="72"/>
      <x:c r="K144" s="73" t="str">
        <x:f>IF(C144="","",F144*G144*H144*I144+J144)</x:f>
      </x:c>
      <x:c r="L144" s="73"/>
      <x:c r="M144" s="73"/>
      <x:c r="N144" s="73" t="str">
        <x:f>IF(C144="","",MAX(0,K144+M144-L144))</x:f>
      </x:c>
      <x:c r="O144" s="72"/>
      <x:c r="P144" s="60" t="str">
        <x:f>IF(C144="","",IF(N144=0,"정상",IF(N144&gt;O144*10,"MOQ 과잉 확인","정상")))</x:f>
      </x:c>
      <x:c r="Q144" s="58" t="str"/>
      <x:c r="R144" s="60" t="str">
        <x:f>IF(C144="","",IF(Q144="Y",IF(K144&gt;0,"정상","누락"),"정상"))</x:f>
      </x:c>
      <x:c r="S144" s="66" t="str">
        <x:f>IF(C144="","",IF(N144=0,0,ROUNDUP(N144/O144,0)*O144))</x:f>
      </x:c>
      <x:c r="T144" s="66"/>
      <x:c r="U144" s="66" t="str">
        <x:f>IF(C144="","",S144*T144)</x:f>
      </x:c>
    </x:row>
    <x:row r="145">
      <x:c r="A145" s="69" t="str"/>
      <x:c r="B145" s="69" t="str"/>
      <x:c r="C145" s="58" t="str"/>
      <x:c r="D145" s="58" t="str"/>
      <x:c r="E145" s="58" t="str"/>
      <x:c r="F145" s="70"/>
      <x:c r="G145" s="70"/>
      <x:c r="H145" s="71"/>
      <x:c r="I145" s="72"/>
      <x:c r="J145" s="72"/>
      <x:c r="K145" s="73" t="str">
        <x:f>IF(C145="","",F145*G145*H145*I145+J145)</x:f>
      </x:c>
      <x:c r="L145" s="73"/>
      <x:c r="M145" s="73"/>
      <x:c r="N145" s="73" t="str">
        <x:f>IF(C145="","",MAX(0,K145+M145-L145))</x:f>
      </x:c>
      <x:c r="O145" s="72"/>
      <x:c r="P145" s="60" t="str">
        <x:f>IF(C145="","",IF(N145=0,"정상",IF(N145&gt;O145*10,"MOQ 과잉 확인","정상")))</x:f>
      </x:c>
      <x:c r="Q145" s="58" t="str"/>
      <x:c r="R145" s="60" t="str">
        <x:f>IF(C145="","",IF(Q145="Y",IF(K145&gt;0,"정상","누락"),"정상"))</x:f>
      </x:c>
      <x:c r="S145" s="66" t="str">
        <x:f>IF(C145="","",IF(N145=0,0,ROUNDUP(N145/O145,0)*O145))</x:f>
      </x:c>
      <x:c r="T145" s="66"/>
      <x:c r="U145" s="66" t="str">
        <x:f>IF(C145="","",S145*T145)</x:f>
      </x:c>
    </x:row>
    <x:row r="146">
      <x:c r="A146" s="69" t="str"/>
      <x:c r="B146" s="69" t="str"/>
      <x:c r="C146" s="58" t="str"/>
      <x:c r="D146" s="58" t="str"/>
      <x:c r="E146" s="58" t="str"/>
      <x:c r="F146" s="70"/>
      <x:c r="G146" s="70"/>
      <x:c r="H146" s="71"/>
      <x:c r="I146" s="72"/>
      <x:c r="J146" s="72"/>
      <x:c r="K146" s="73" t="str">
        <x:f>IF(C146="","",F146*G146*H146*I146+J146)</x:f>
      </x:c>
      <x:c r="L146" s="73"/>
      <x:c r="M146" s="73"/>
      <x:c r="N146" s="73" t="str">
        <x:f>IF(C146="","",MAX(0,K146+M146-L146))</x:f>
      </x:c>
      <x:c r="O146" s="72"/>
      <x:c r="P146" s="60" t="str">
        <x:f>IF(C146="","",IF(N146=0,"정상",IF(N146&gt;O146*10,"MOQ 과잉 확인","정상")))</x:f>
      </x:c>
      <x:c r="Q146" s="58" t="str"/>
      <x:c r="R146" s="60" t="str">
        <x:f>IF(C146="","",IF(Q146="Y",IF(K146&gt;0,"정상","누락"),"정상"))</x:f>
      </x:c>
      <x:c r="S146" s="66" t="str">
        <x:f>IF(C146="","",IF(N146=0,0,ROUNDUP(N146/O146,0)*O146))</x:f>
      </x:c>
      <x:c r="T146" s="66"/>
      <x:c r="U146" s="66" t="str">
        <x:f>IF(C146="","",S146*T146)</x:f>
      </x:c>
    </x:row>
    <x:row r="147">
      <x:c r="A147" s="69" t="str"/>
      <x:c r="B147" s="69" t="str"/>
      <x:c r="C147" s="58" t="str"/>
      <x:c r="D147" s="58" t="str"/>
      <x:c r="E147" s="58" t="str"/>
      <x:c r="F147" s="70"/>
      <x:c r="G147" s="70"/>
      <x:c r="H147" s="71"/>
      <x:c r="I147" s="72"/>
      <x:c r="J147" s="72"/>
      <x:c r="K147" s="73" t="str">
        <x:f>IF(C147="","",F147*G147*H147*I147+J147)</x:f>
      </x:c>
      <x:c r="L147" s="73"/>
      <x:c r="M147" s="73"/>
      <x:c r="N147" s="73" t="str">
        <x:f>IF(C147="","",MAX(0,K147+M147-L147))</x:f>
      </x:c>
      <x:c r="O147" s="72"/>
      <x:c r="P147" s="60" t="str">
        <x:f>IF(C147="","",IF(N147=0,"정상",IF(N147&gt;O147*10,"MOQ 과잉 확인","정상")))</x:f>
      </x:c>
      <x:c r="Q147" s="58" t="str"/>
      <x:c r="R147" s="60" t="str">
        <x:f>IF(C147="","",IF(Q147="Y",IF(K147&gt;0,"정상","누락"),"정상"))</x:f>
      </x:c>
      <x:c r="S147" s="66" t="str">
        <x:f>IF(C147="","",IF(N147=0,0,ROUNDUP(N147/O147,0)*O147))</x:f>
      </x:c>
      <x:c r="T147" s="66"/>
      <x:c r="U147" s="66" t="str">
        <x:f>IF(C147="","",S147*T147)</x:f>
      </x:c>
    </x:row>
    <x:row r="148">
      <x:c r="A148" s="69" t="str"/>
      <x:c r="B148" s="69" t="str"/>
      <x:c r="C148" s="58" t="str"/>
      <x:c r="D148" s="58" t="str"/>
      <x:c r="E148" s="58" t="str"/>
      <x:c r="F148" s="70"/>
      <x:c r="G148" s="70"/>
      <x:c r="H148" s="71"/>
      <x:c r="I148" s="72"/>
      <x:c r="J148" s="72"/>
      <x:c r="K148" s="73" t="str">
        <x:f>IF(C148="","",F148*G148*H148*I148+J148)</x:f>
      </x:c>
      <x:c r="L148" s="73"/>
      <x:c r="M148" s="73"/>
      <x:c r="N148" s="73" t="str">
        <x:f>IF(C148="","",MAX(0,K148+M148-L148))</x:f>
      </x:c>
      <x:c r="O148" s="72"/>
      <x:c r="P148" s="60" t="str">
        <x:f>IF(C148="","",IF(N148=0,"정상",IF(N148&gt;O148*10,"MOQ 과잉 확인","정상")))</x:f>
      </x:c>
      <x:c r="Q148" s="58" t="str"/>
      <x:c r="R148" s="60" t="str">
        <x:f>IF(C148="","",IF(Q148="Y",IF(K148&gt;0,"정상","누락"),"정상"))</x:f>
      </x:c>
      <x:c r="S148" s="66" t="str">
        <x:f>IF(C148="","",IF(N148=0,0,ROUNDUP(N148/O148,0)*O148))</x:f>
      </x:c>
      <x:c r="T148" s="66"/>
      <x:c r="U148" s="66" t="str">
        <x:f>IF(C148="","",S148*T148)</x:f>
      </x:c>
    </x:row>
    <x:row r="149">
      <x:c r="A149" s="69" t="str"/>
      <x:c r="B149" s="69" t="str"/>
      <x:c r="C149" s="58" t="str"/>
      <x:c r="D149" s="58" t="str"/>
      <x:c r="E149" s="58" t="str"/>
      <x:c r="F149" s="70"/>
      <x:c r="G149" s="70"/>
      <x:c r="H149" s="71"/>
      <x:c r="I149" s="72"/>
      <x:c r="J149" s="72"/>
      <x:c r="K149" s="73" t="str">
        <x:f>IF(C149="","",F149*G149*H149*I149+J149)</x:f>
      </x:c>
      <x:c r="L149" s="73"/>
      <x:c r="M149" s="73"/>
      <x:c r="N149" s="73" t="str">
        <x:f>IF(C149="","",MAX(0,K149+M149-L149))</x:f>
      </x:c>
      <x:c r="O149" s="72"/>
      <x:c r="P149" s="60" t="str">
        <x:f>IF(C149="","",IF(N149=0,"정상",IF(N149&gt;O149*10,"MOQ 과잉 확인","정상")))</x:f>
      </x:c>
      <x:c r="Q149" s="58" t="str"/>
      <x:c r="R149" s="60" t="str">
        <x:f>IF(C149="","",IF(Q149="Y",IF(K149&gt;0,"정상","누락"),"정상"))</x:f>
      </x:c>
      <x:c r="S149" s="66" t="str">
        <x:f>IF(C149="","",IF(N149=0,0,ROUNDUP(N149/O149,0)*O149))</x:f>
      </x:c>
      <x:c r="T149" s="66"/>
      <x:c r="U149" s="66" t="str">
        <x:f>IF(C149="","",S149*T149)</x:f>
      </x:c>
    </x:row>
    <x:row r="150">
      <x:c r="A150" s="69" t="str"/>
      <x:c r="B150" s="69" t="str"/>
      <x:c r="C150" s="58" t="str"/>
      <x:c r="D150" s="58" t="str"/>
      <x:c r="E150" s="58" t="str"/>
      <x:c r="F150" s="70"/>
      <x:c r="G150" s="70"/>
      <x:c r="H150" s="71"/>
      <x:c r="I150" s="72"/>
      <x:c r="J150" s="72"/>
      <x:c r="K150" s="73" t="str">
        <x:f>IF(C150="","",F150*G150*H150*I150+J150)</x:f>
      </x:c>
      <x:c r="L150" s="73"/>
      <x:c r="M150" s="73"/>
      <x:c r="N150" s="73" t="str">
        <x:f>IF(C150="","",MAX(0,K150+M150-L150))</x:f>
      </x:c>
      <x:c r="O150" s="72"/>
      <x:c r="P150" s="60" t="str">
        <x:f>IF(C150="","",IF(N150=0,"정상",IF(N150&gt;O150*10,"MOQ 과잉 확인","정상")))</x:f>
      </x:c>
      <x:c r="Q150" s="58" t="str"/>
      <x:c r="R150" s="60" t="str">
        <x:f>IF(C150="","",IF(Q150="Y",IF(K150&gt;0,"정상","누락"),"정상"))</x:f>
      </x:c>
      <x:c r="S150" s="66" t="str">
        <x:f>IF(C150="","",IF(N150=0,0,ROUNDUP(N150/O150,0)*O150))</x:f>
      </x:c>
      <x:c r="T150" s="66"/>
      <x:c r="U150" s="66" t="str">
        <x:f>IF(C150="","",S150*T150)</x:f>
      </x:c>
    </x:row>
    <x:row r="151">
      <x:c r="A151" s="69" t="str"/>
      <x:c r="B151" s="69" t="str"/>
      <x:c r="C151" s="58" t="str"/>
      <x:c r="D151" s="58" t="str"/>
      <x:c r="E151" s="58" t="str"/>
      <x:c r="F151" s="70"/>
      <x:c r="G151" s="70"/>
      <x:c r="H151" s="71"/>
      <x:c r="I151" s="72"/>
      <x:c r="J151" s="72"/>
      <x:c r="K151" s="73" t="str">
        <x:f>IF(C151="","",F151*G151*H151*I151+J151)</x:f>
      </x:c>
      <x:c r="L151" s="73"/>
      <x:c r="M151" s="73"/>
      <x:c r="N151" s="73" t="str">
        <x:f>IF(C151="","",MAX(0,K151+M151-L151))</x:f>
      </x:c>
      <x:c r="O151" s="72"/>
      <x:c r="P151" s="60" t="str">
        <x:f>IF(C151="","",IF(N151=0,"정상",IF(N151&gt;O151*10,"MOQ 과잉 확인","정상")))</x:f>
      </x:c>
      <x:c r="Q151" s="58" t="str"/>
      <x:c r="R151" s="60" t="str">
        <x:f>IF(C151="","",IF(Q151="Y",IF(K151&gt;0,"정상","누락"),"정상"))</x:f>
      </x:c>
      <x:c r="S151" s="66" t="str">
        <x:f>IF(C151="","",IF(N151=0,0,ROUNDUP(N151/O151,0)*O151))</x:f>
      </x:c>
      <x:c r="T151" s="66"/>
      <x:c r="U151" s="66" t="str">
        <x:f>IF(C151="","",S151*T151)</x:f>
      </x:c>
    </x:row>
    <x:row r="152">
      <x:c r="A152" s="69" t="str"/>
      <x:c r="B152" s="69" t="str"/>
      <x:c r="C152" s="58" t="str"/>
      <x:c r="D152" s="58" t="str"/>
      <x:c r="E152" s="58" t="str"/>
      <x:c r="F152" s="70"/>
      <x:c r="G152" s="70"/>
      <x:c r="H152" s="71"/>
      <x:c r="I152" s="72"/>
      <x:c r="J152" s="72"/>
      <x:c r="K152" s="73" t="str">
        <x:f>IF(C152="","",F152*G152*H152*I152+J152)</x:f>
      </x:c>
      <x:c r="L152" s="73"/>
      <x:c r="M152" s="73"/>
      <x:c r="N152" s="73" t="str">
        <x:f>IF(C152="","",MAX(0,K152+M152-L152))</x:f>
      </x:c>
      <x:c r="O152" s="72"/>
      <x:c r="P152" s="60" t="str">
        <x:f>IF(C152="","",IF(N152=0,"정상",IF(N152&gt;O152*10,"MOQ 과잉 확인","정상")))</x:f>
      </x:c>
      <x:c r="Q152" s="58" t="str"/>
      <x:c r="R152" s="60" t="str">
        <x:f>IF(C152="","",IF(Q152="Y",IF(K152&gt;0,"정상","누락"),"정상"))</x:f>
      </x:c>
      <x:c r="S152" s="66" t="str">
        <x:f>IF(C152="","",IF(N152=0,0,ROUNDUP(N152/O152,0)*O152))</x:f>
      </x:c>
      <x:c r="T152" s="66"/>
      <x:c r="U152" s="66" t="str">
        <x:f>IF(C152="","",S152*T152)</x:f>
      </x:c>
    </x:row>
    <x:row r="153">
      <x:c r="A153" s="69" t="str"/>
      <x:c r="B153" s="69" t="str"/>
      <x:c r="C153" s="58" t="str"/>
      <x:c r="D153" s="58" t="str"/>
      <x:c r="E153" s="58" t="str"/>
      <x:c r="F153" s="70"/>
      <x:c r="G153" s="70"/>
      <x:c r="H153" s="71"/>
      <x:c r="I153" s="72"/>
      <x:c r="J153" s="72"/>
      <x:c r="K153" s="73" t="str">
        <x:f>IF(C153="","",F153*G153*H153*I153+J153)</x:f>
      </x:c>
      <x:c r="L153" s="73"/>
      <x:c r="M153" s="73"/>
      <x:c r="N153" s="73" t="str">
        <x:f>IF(C153="","",MAX(0,K153+M153-L153))</x:f>
      </x:c>
      <x:c r="O153" s="72"/>
      <x:c r="P153" s="60" t="str">
        <x:f>IF(C153="","",IF(N153=0,"정상",IF(N153&gt;O153*10,"MOQ 과잉 확인","정상")))</x:f>
      </x:c>
      <x:c r="Q153" s="58" t="str"/>
      <x:c r="R153" s="60" t="str">
        <x:f>IF(C153="","",IF(Q153="Y",IF(K153&gt;0,"정상","누락"),"정상"))</x:f>
      </x:c>
      <x:c r="S153" s="66" t="str">
        <x:f>IF(C153="","",IF(N153=0,0,ROUNDUP(N153/O153,0)*O153))</x:f>
      </x:c>
      <x:c r="T153" s="66"/>
      <x:c r="U153" s="66" t="str">
        <x:f>IF(C153="","",S153*T153)</x:f>
      </x:c>
    </x:row>
    <x:row r="154">
      <x:c r="A154" s="69" t="str"/>
      <x:c r="B154" s="69" t="str"/>
      <x:c r="C154" s="58" t="str"/>
      <x:c r="D154" s="58" t="str"/>
      <x:c r="E154" s="58" t="str"/>
      <x:c r="F154" s="70"/>
      <x:c r="G154" s="70"/>
      <x:c r="H154" s="71"/>
      <x:c r="I154" s="72"/>
      <x:c r="J154" s="72"/>
      <x:c r="K154" s="73" t="str">
        <x:f>IF(C154="","",F154*G154*H154*I154+J154)</x:f>
      </x:c>
      <x:c r="L154" s="73"/>
      <x:c r="M154" s="73"/>
      <x:c r="N154" s="73" t="str">
        <x:f>IF(C154="","",MAX(0,K154+M154-L154))</x:f>
      </x:c>
      <x:c r="O154" s="72"/>
      <x:c r="P154" s="60" t="str">
        <x:f>IF(C154="","",IF(N154=0,"정상",IF(N154&gt;O154*10,"MOQ 과잉 확인","정상")))</x:f>
      </x:c>
      <x:c r="Q154" s="58" t="str"/>
      <x:c r="R154" s="60" t="str">
        <x:f>IF(C154="","",IF(Q154="Y",IF(K154&gt;0,"정상","누락"),"정상"))</x:f>
      </x:c>
      <x:c r="S154" s="66" t="str">
        <x:f>IF(C154="","",IF(N154=0,0,ROUNDUP(N154/O154,0)*O154))</x:f>
      </x:c>
      <x:c r="T154" s="66"/>
      <x:c r="U154" s="66" t="str">
        <x:f>IF(C154="","",S154*T154)</x:f>
      </x:c>
    </x:row>
    <x:row r="155">
      <x:c r="A155" s="69" t="str"/>
      <x:c r="B155" s="69" t="str"/>
      <x:c r="C155" s="58" t="str"/>
      <x:c r="D155" s="58" t="str"/>
      <x:c r="E155" s="58" t="str"/>
      <x:c r="F155" s="70"/>
      <x:c r="G155" s="70"/>
      <x:c r="H155" s="71"/>
      <x:c r="I155" s="72"/>
      <x:c r="J155" s="72"/>
      <x:c r="K155" s="73" t="str">
        <x:f>IF(C155="","",F155*G155*H155*I155+J155)</x:f>
      </x:c>
      <x:c r="L155" s="73"/>
      <x:c r="M155" s="73"/>
      <x:c r="N155" s="73" t="str">
        <x:f>IF(C155="","",MAX(0,K155+M155-L155))</x:f>
      </x:c>
      <x:c r="O155" s="72"/>
      <x:c r="P155" s="60" t="str">
        <x:f>IF(C155="","",IF(N155=0,"정상",IF(N155&gt;O155*10,"MOQ 과잉 확인","정상")))</x:f>
      </x:c>
      <x:c r="Q155" s="58" t="str"/>
      <x:c r="R155" s="60" t="str">
        <x:f>IF(C155="","",IF(Q155="Y",IF(K155&gt;0,"정상","누락"),"정상"))</x:f>
      </x:c>
      <x:c r="S155" s="66" t="str">
        <x:f>IF(C155="","",IF(N155=0,0,ROUNDUP(N155/O155,0)*O155))</x:f>
      </x:c>
      <x:c r="T155" s="66"/>
      <x:c r="U155" s="66" t="str">
        <x:f>IF(C155="","",S155*T155)</x:f>
      </x:c>
    </x:row>
    <x:row r="156">
      <x:c r="A156" s="69" t="str"/>
      <x:c r="B156" s="69" t="str"/>
      <x:c r="C156" s="58" t="str"/>
      <x:c r="D156" s="58" t="str"/>
      <x:c r="E156" s="58" t="str"/>
      <x:c r="F156" s="70"/>
      <x:c r="G156" s="70"/>
      <x:c r="H156" s="71"/>
      <x:c r="I156" s="72"/>
      <x:c r="J156" s="72"/>
      <x:c r="K156" s="73" t="str">
        <x:f>IF(C156="","",F156*G156*H156*I156+J156)</x:f>
      </x:c>
      <x:c r="L156" s="73"/>
      <x:c r="M156" s="73"/>
      <x:c r="N156" s="73" t="str">
        <x:f>IF(C156="","",MAX(0,K156+M156-L156))</x:f>
      </x:c>
      <x:c r="O156" s="72"/>
      <x:c r="P156" s="60" t="str">
        <x:f>IF(C156="","",IF(N156=0,"정상",IF(N156&gt;O156*10,"MOQ 과잉 확인","정상")))</x:f>
      </x:c>
      <x:c r="Q156" s="58" t="str"/>
      <x:c r="R156" s="60" t="str">
        <x:f>IF(C156="","",IF(Q156="Y",IF(K156&gt;0,"정상","누락"),"정상"))</x:f>
      </x:c>
      <x:c r="S156" s="66" t="str">
        <x:f>IF(C156="","",IF(N156=0,0,ROUNDUP(N156/O156,0)*O156))</x:f>
      </x:c>
      <x:c r="T156" s="66"/>
      <x:c r="U156" s="66" t="str">
        <x:f>IF(C156="","",S156*T156)</x:f>
      </x:c>
    </x:row>
    <x:row r="157">
      <x:c r="A157" s="69" t="str"/>
      <x:c r="B157" s="69" t="str"/>
      <x:c r="C157" s="58" t="str"/>
      <x:c r="D157" s="58" t="str"/>
      <x:c r="E157" s="58" t="str"/>
      <x:c r="F157" s="70"/>
      <x:c r="G157" s="70"/>
      <x:c r="H157" s="71"/>
      <x:c r="I157" s="72"/>
      <x:c r="J157" s="72"/>
      <x:c r="K157" s="73" t="str">
        <x:f>IF(C157="","",F157*G157*H157*I157+J157)</x:f>
      </x:c>
      <x:c r="L157" s="73"/>
      <x:c r="M157" s="73"/>
      <x:c r="N157" s="73" t="str">
        <x:f>IF(C157="","",MAX(0,K157+M157-L157))</x:f>
      </x:c>
      <x:c r="O157" s="72"/>
      <x:c r="P157" s="60" t="str">
        <x:f>IF(C157="","",IF(N157=0,"정상",IF(N157&gt;O157*10,"MOQ 과잉 확인","정상")))</x:f>
      </x:c>
      <x:c r="Q157" s="58" t="str"/>
      <x:c r="R157" s="60" t="str">
        <x:f>IF(C157="","",IF(Q157="Y",IF(K157&gt;0,"정상","누락"),"정상"))</x:f>
      </x:c>
      <x:c r="S157" s="66" t="str">
        <x:f>IF(C157="","",IF(N157=0,0,ROUNDUP(N157/O157,0)*O157))</x:f>
      </x:c>
      <x:c r="T157" s="66"/>
      <x:c r="U157" s="66" t="str">
        <x:f>IF(C157="","",S157*T157)</x:f>
      </x:c>
    </x:row>
    <x:row r="158">
      <x:c r="A158" s="69" t="str"/>
      <x:c r="B158" s="69" t="str"/>
      <x:c r="C158" s="58" t="str"/>
      <x:c r="D158" s="58" t="str"/>
      <x:c r="E158" s="58" t="str"/>
      <x:c r="F158" s="70"/>
      <x:c r="G158" s="70"/>
      <x:c r="H158" s="71"/>
      <x:c r="I158" s="72"/>
      <x:c r="J158" s="72"/>
      <x:c r="K158" s="73" t="str">
        <x:f>IF(C158="","",F158*G158*H158*I158+J158)</x:f>
      </x:c>
      <x:c r="L158" s="73"/>
      <x:c r="M158" s="73"/>
      <x:c r="N158" s="73" t="str">
        <x:f>IF(C158="","",MAX(0,K158+M158-L158))</x:f>
      </x:c>
      <x:c r="O158" s="72"/>
      <x:c r="P158" s="60" t="str">
        <x:f>IF(C158="","",IF(N158=0,"정상",IF(N158&gt;O158*10,"MOQ 과잉 확인","정상")))</x:f>
      </x:c>
      <x:c r="Q158" s="58" t="str"/>
      <x:c r="R158" s="60" t="str">
        <x:f>IF(C158="","",IF(Q158="Y",IF(K158&gt;0,"정상","누락"),"정상"))</x:f>
      </x:c>
      <x:c r="S158" s="66" t="str">
        <x:f>IF(C158="","",IF(N158=0,0,ROUNDUP(N158/O158,0)*O158))</x:f>
      </x:c>
      <x:c r="T158" s="66"/>
      <x:c r="U158" s="66" t="str">
        <x:f>IF(C158="","",S158*T158)</x:f>
      </x:c>
    </x:row>
    <x:row r="159">
      <x:c r="A159" s="69" t="str"/>
      <x:c r="B159" s="69" t="str"/>
      <x:c r="C159" s="58" t="str"/>
      <x:c r="D159" s="58" t="str"/>
      <x:c r="E159" s="58" t="str"/>
      <x:c r="F159" s="70"/>
      <x:c r="G159" s="70"/>
      <x:c r="H159" s="71"/>
      <x:c r="I159" s="72"/>
      <x:c r="J159" s="72"/>
      <x:c r="K159" s="73" t="str">
        <x:f>IF(C159="","",F159*G159*H159*I159+J159)</x:f>
      </x:c>
      <x:c r="L159" s="73"/>
      <x:c r="M159" s="73"/>
      <x:c r="N159" s="73" t="str">
        <x:f>IF(C159="","",MAX(0,K159+M159-L159))</x:f>
      </x:c>
      <x:c r="O159" s="72"/>
      <x:c r="P159" s="60" t="str">
        <x:f>IF(C159="","",IF(N159=0,"정상",IF(N159&gt;O159*10,"MOQ 과잉 확인","정상")))</x:f>
      </x:c>
      <x:c r="Q159" s="58" t="str"/>
      <x:c r="R159" s="60" t="str">
        <x:f>IF(C159="","",IF(Q159="Y",IF(K159&gt;0,"정상","누락"),"정상"))</x:f>
      </x:c>
      <x:c r="S159" s="66" t="str">
        <x:f>IF(C159="","",IF(N159=0,0,ROUNDUP(N159/O159,0)*O159))</x:f>
      </x:c>
      <x:c r="T159" s="66"/>
      <x:c r="U159" s="66" t="str">
        <x:f>IF(C159="","",S159*T159)</x:f>
      </x:c>
    </x:row>
    <x:row r="160">
      <x:c r="A160" s="69" t="str"/>
      <x:c r="B160" s="69" t="str"/>
      <x:c r="C160" s="58" t="str"/>
      <x:c r="D160" s="58" t="str"/>
      <x:c r="E160" s="58" t="str"/>
      <x:c r="F160" s="70"/>
      <x:c r="G160" s="70"/>
      <x:c r="H160" s="71"/>
      <x:c r="I160" s="72"/>
      <x:c r="J160" s="72"/>
      <x:c r="K160" s="73" t="str">
        <x:f>IF(C160="","",F160*G160*H160*I160+J160)</x:f>
      </x:c>
      <x:c r="L160" s="73"/>
      <x:c r="M160" s="73"/>
      <x:c r="N160" s="73" t="str">
        <x:f>IF(C160="","",MAX(0,K160+M160-L160))</x:f>
      </x:c>
      <x:c r="O160" s="72"/>
      <x:c r="P160" s="60" t="str">
        <x:f>IF(C160="","",IF(N160=0,"정상",IF(N160&gt;O160*10,"MOQ 과잉 확인","정상")))</x:f>
      </x:c>
      <x:c r="Q160" s="58" t="str"/>
      <x:c r="R160" s="60" t="str">
        <x:f>IF(C160="","",IF(Q160="Y",IF(K160&gt;0,"정상","누락"),"정상"))</x:f>
      </x:c>
      <x:c r="S160" s="66" t="str">
        <x:f>IF(C160="","",IF(N160=0,0,ROUNDUP(N160/O160,0)*O160))</x:f>
      </x:c>
      <x:c r="T160" s="66"/>
      <x:c r="U160" s="66" t="str">
        <x:f>IF(C160="","",S160*T160)</x:f>
      </x:c>
    </x:row>
    <x:row r="161">
      <x:c r="A161" s="69" t="str"/>
      <x:c r="B161" s="69" t="str"/>
      <x:c r="C161" s="58" t="str"/>
      <x:c r="D161" s="58" t="str"/>
      <x:c r="E161" s="58" t="str"/>
      <x:c r="F161" s="70"/>
      <x:c r="G161" s="70"/>
      <x:c r="H161" s="71"/>
      <x:c r="I161" s="72"/>
      <x:c r="J161" s="72"/>
      <x:c r="K161" s="73" t="str">
        <x:f>IF(C161="","",F161*G161*H161*I161+J161)</x:f>
      </x:c>
      <x:c r="L161" s="73"/>
      <x:c r="M161" s="73"/>
      <x:c r="N161" s="73" t="str">
        <x:f>IF(C161="","",MAX(0,K161+M161-L161))</x:f>
      </x:c>
      <x:c r="O161" s="72"/>
      <x:c r="P161" s="60" t="str">
        <x:f>IF(C161="","",IF(N161=0,"정상",IF(N161&gt;O161*10,"MOQ 과잉 확인","정상")))</x:f>
      </x:c>
      <x:c r="Q161" s="58" t="str"/>
      <x:c r="R161" s="60" t="str">
        <x:f>IF(C161="","",IF(Q161="Y",IF(K161&gt;0,"정상","누락"),"정상"))</x:f>
      </x:c>
      <x:c r="S161" s="66" t="str">
        <x:f>IF(C161="","",IF(N161=0,0,ROUNDUP(N161/O161,0)*O161))</x:f>
      </x:c>
      <x:c r="T161" s="66"/>
      <x:c r="U161" s="66" t="str">
        <x:f>IF(C161="","",S161*T161)</x:f>
      </x:c>
    </x:row>
    <x:row r="162">
      <x:c r="A162" s="69" t="str"/>
      <x:c r="B162" s="69" t="str"/>
      <x:c r="C162" s="58" t="str"/>
      <x:c r="D162" s="58" t="str"/>
      <x:c r="E162" s="58" t="str"/>
      <x:c r="F162" s="70"/>
      <x:c r="G162" s="70"/>
      <x:c r="H162" s="71"/>
      <x:c r="I162" s="72"/>
      <x:c r="J162" s="72"/>
      <x:c r="K162" s="73" t="str">
        <x:f>IF(C162="","",F162*G162*H162*I162+J162)</x:f>
      </x:c>
      <x:c r="L162" s="73"/>
      <x:c r="M162" s="73"/>
      <x:c r="N162" s="73" t="str">
        <x:f>IF(C162="","",MAX(0,K162+M162-L162))</x:f>
      </x:c>
      <x:c r="O162" s="72"/>
      <x:c r="P162" s="60" t="str">
        <x:f>IF(C162="","",IF(N162=0,"정상",IF(N162&gt;O162*10,"MOQ 과잉 확인","정상")))</x:f>
      </x:c>
      <x:c r="Q162" s="58" t="str"/>
      <x:c r="R162" s="60" t="str">
        <x:f>IF(C162="","",IF(Q162="Y",IF(K162&gt;0,"정상","누락"),"정상"))</x:f>
      </x:c>
      <x:c r="S162" s="66" t="str">
        <x:f>IF(C162="","",IF(N162=0,0,ROUNDUP(N162/O162,0)*O162))</x:f>
      </x:c>
      <x:c r="T162" s="66"/>
      <x:c r="U162" s="66" t="str">
        <x:f>IF(C162="","",S162*T162)</x:f>
      </x:c>
    </x:row>
    <x:row r="163">
      <x:c r="A163" s="69" t="str"/>
      <x:c r="B163" s="69" t="str"/>
      <x:c r="C163" s="58" t="str"/>
      <x:c r="D163" s="58" t="str"/>
      <x:c r="E163" s="58" t="str"/>
      <x:c r="F163" s="70"/>
      <x:c r="G163" s="70"/>
      <x:c r="H163" s="71"/>
      <x:c r="I163" s="72"/>
      <x:c r="J163" s="72"/>
      <x:c r="K163" s="73" t="str">
        <x:f>IF(C163="","",F163*G163*H163*I163+J163)</x:f>
      </x:c>
      <x:c r="L163" s="73"/>
      <x:c r="M163" s="73"/>
      <x:c r="N163" s="73" t="str">
        <x:f>IF(C163="","",MAX(0,K163+M163-L163))</x:f>
      </x:c>
      <x:c r="O163" s="72"/>
      <x:c r="P163" s="60" t="str">
        <x:f>IF(C163="","",IF(N163=0,"정상",IF(N163&gt;O163*10,"MOQ 과잉 확인","정상")))</x:f>
      </x:c>
      <x:c r="Q163" s="58" t="str"/>
      <x:c r="R163" s="60" t="str">
        <x:f>IF(C163="","",IF(Q163="Y",IF(K163&gt;0,"정상","누락"),"정상"))</x:f>
      </x:c>
      <x:c r="S163" s="66" t="str">
        <x:f>IF(C163="","",IF(N163=0,0,ROUNDUP(N163/O163,0)*O163))</x:f>
      </x:c>
      <x:c r="T163" s="66"/>
      <x:c r="U163" s="66" t="str">
        <x:f>IF(C163="","",S163*T163)</x:f>
      </x:c>
    </x:row>
    <x:row r="164">
      <x:c r="A164" s="69" t="str"/>
      <x:c r="B164" s="69" t="str"/>
      <x:c r="C164" s="58" t="str"/>
      <x:c r="D164" s="58" t="str"/>
      <x:c r="E164" s="58" t="str"/>
      <x:c r="F164" s="70"/>
      <x:c r="G164" s="70"/>
      <x:c r="H164" s="71"/>
      <x:c r="I164" s="72"/>
      <x:c r="J164" s="72"/>
      <x:c r="K164" s="73" t="str">
        <x:f>IF(C164="","",F164*G164*H164*I164+J164)</x:f>
      </x:c>
      <x:c r="L164" s="73"/>
      <x:c r="M164" s="73"/>
      <x:c r="N164" s="73" t="str">
        <x:f>IF(C164="","",MAX(0,K164+M164-L164))</x:f>
      </x:c>
      <x:c r="O164" s="72"/>
      <x:c r="P164" s="60" t="str">
        <x:f>IF(C164="","",IF(N164=0,"정상",IF(N164&gt;O164*10,"MOQ 과잉 확인","정상")))</x:f>
      </x:c>
      <x:c r="Q164" s="58" t="str"/>
      <x:c r="R164" s="60" t="str">
        <x:f>IF(C164="","",IF(Q164="Y",IF(K164&gt;0,"정상","누락"),"정상"))</x:f>
      </x:c>
      <x:c r="S164" s="66" t="str">
        <x:f>IF(C164="","",IF(N164=0,0,ROUNDUP(N164/O164,0)*O164))</x:f>
      </x:c>
      <x:c r="T164" s="66"/>
      <x:c r="U164" s="66" t="str">
        <x:f>IF(C164="","",S164*T164)</x:f>
      </x:c>
    </x:row>
    <x:row r="165">
      <x:c r="A165" s="69" t="str"/>
      <x:c r="B165" s="69" t="str"/>
      <x:c r="C165" s="58" t="str"/>
      <x:c r="D165" s="58" t="str"/>
      <x:c r="E165" s="58" t="str"/>
      <x:c r="F165" s="70"/>
      <x:c r="G165" s="70"/>
      <x:c r="H165" s="71"/>
      <x:c r="I165" s="72"/>
      <x:c r="J165" s="72"/>
      <x:c r="K165" s="73" t="str">
        <x:f>IF(C165="","",F165*G165*H165*I165+J165)</x:f>
      </x:c>
      <x:c r="L165" s="73"/>
      <x:c r="M165" s="73"/>
      <x:c r="N165" s="73" t="str">
        <x:f>IF(C165="","",MAX(0,K165+M165-L165))</x:f>
      </x:c>
      <x:c r="O165" s="72"/>
      <x:c r="P165" s="60" t="str">
        <x:f>IF(C165="","",IF(N165=0,"정상",IF(N165&gt;O165*10,"MOQ 과잉 확인","정상")))</x:f>
      </x:c>
      <x:c r="Q165" s="58" t="str"/>
      <x:c r="R165" s="60" t="str">
        <x:f>IF(C165="","",IF(Q165="Y",IF(K165&gt;0,"정상","누락"),"정상"))</x:f>
      </x:c>
      <x:c r="S165" s="66" t="str">
        <x:f>IF(C165="","",IF(N165=0,0,ROUNDUP(N165/O165,0)*O165))</x:f>
      </x:c>
      <x:c r="T165" s="66"/>
      <x:c r="U165" s="66" t="str">
        <x:f>IF(C165="","",S165*T165)</x:f>
      </x:c>
    </x:row>
    <x:row r="166">
      <x:c r="A166" s="69" t="str"/>
      <x:c r="B166" s="69" t="str"/>
      <x:c r="C166" s="58" t="str"/>
      <x:c r="D166" s="58" t="str"/>
      <x:c r="E166" s="58" t="str"/>
      <x:c r="F166" s="70"/>
      <x:c r="G166" s="70"/>
      <x:c r="H166" s="71"/>
      <x:c r="I166" s="72"/>
      <x:c r="J166" s="72"/>
      <x:c r="K166" s="73" t="str">
        <x:f>IF(C166="","",F166*G166*H166*I166+J166)</x:f>
      </x:c>
      <x:c r="L166" s="73"/>
      <x:c r="M166" s="73"/>
      <x:c r="N166" s="73" t="str">
        <x:f>IF(C166="","",MAX(0,K166+M166-L166))</x:f>
      </x:c>
      <x:c r="O166" s="72"/>
      <x:c r="P166" s="60" t="str">
        <x:f>IF(C166="","",IF(N166=0,"정상",IF(N166&gt;O166*10,"MOQ 과잉 확인","정상")))</x:f>
      </x:c>
      <x:c r="Q166" s="58" t="str"/>
      <x:c r="R166" s="60" t="str">
        <x:f>IF(C166="","",IF(Q166="Y",IF(K166&gt;0,"정상","누락"),"정상"))</x:f>
      </x:c>
      <x:c r="S166" s="66" t="str">
        <x:f>IF(C166="","",IF(N166=0,0,ROUNDUP(N166/O166,0)*O166))</x:f>
      </x:c>
      <x:c r="T166" s="66"/>
      <x:c r="U166" s="66" t="str">
        <x:f>IF(C166="","",S166*T166)</x:f>
      </x:c>
    </x:row>
    <x:row r="167">
      <x:c r="A167" s="69" t="str"/>
      <x:c r="B167" s="69" t="str"/>
      <x:c r="C167" s="58" t="str"/>
      <x:c r="D167" s="58" t="str"/>
      <x:c r="E167" s="58" t="str"/>
      <x:c r="F167" s="70"/>
      <x:c r="G167" s="70"/>
      <x:c r="H167" s="71"/>
      <x:c r="I167" s="72"/>
      <x:c r="J167" s="72"/>
      <x:c r="K167" s="73" t="str">
        <x:f>IF(C167="","",F167*G167*H167*I167+J167)</x:f>
      </x:c>
      <x:c r="L167" s="73"/>
      <x:c r="M167" s="73"/>
      <x:c r="N167" s="73" t="str">
        <x:f>IF(C167="","",MAX(0,K167+M167-L167))</x:f>
      </x:c>
      <x:c r="O167" s="72"/>
      <x:c r="P167" s="60" t="str">
        <x:f>IF(C167="","",IF(N167=0,"정상",IF(N167&gt;O167*10,"MOQ 과잉 확인","정상")))</x:f>
      </x:c>
      <x:c r="Q167" s="58" t="str"/>
      <x:c r="R167" s="60" t="str">
        <x:f>IF(C167="","",IF(Q167="Y",IF(K167&gt;0,"정상","누락"),"정상"))</x:f>
      </x:c>
      <x:c r="S167" s="66" t="str">
        <x:f>IF(C167="","",IF(N167=0,0,ROUNDUP(N167/O167,0)*O167))</x:f>
      </x:c>
      <x:c r="T167" s="66"/>
      <x:c r="U167" s="66" t="str">
        <x:f>IF(C167="","",S167*T167)</x:f>
      </x:c>
    </x:row>
    <x:row r="168">
      <x:c r="A168" s="69" t="str"/>
      <x:c r="B168" s="69" t="str"/>
      <x:c r="C168" s="58" t="str"/>
      <x:c r="D168" s="58" t="str"/>
      <x:c r="E168" s="58" t="str"/>
      <x:c r="F168" s="70"/>
      <x:c r="G168" s="70"/>
      <x:c r="H168" s="71"/>
      <x:c r="I168" s="72"/>
      <x:c r="J168" s="72"/>
      <x:c r="K168" s="73" t="str">
        <x:f>IF(C168="","",F168*G168*H168*I168+J168)</x:f>
      </x:c>
      <x:c r="L168" s="73"/>
      <x:c r="M168" s="73"/>
      <x:c r="N168" s="73" t="str">
        <x:f>IF(C168="","",MAX(0,K168+M168-L168))</x:f>
      </x:c>
      <x:c r="O168" s="72"/>
      <x:c r="P168" s="60" t="str">
        <x:f>IF(C168="","",IF(N168=0,"정상",IF(N168&gt;O168*10,"MOQ 과잉 확인","정상")))</x:f>
      </x:c>
      <x:c r="Q168" s="58" t="str"/>
      <x:c r="R168" s="60" t="str">
        <x:f>IF(C168="","",IF(Q168="Y",IF(K168&gt;0,"정상","누락"),"정상"))</x:f>
      </x:c>
      <x:c r="S168" s="66" t="str">
        <x:f>IF(C168="","",IF(N168=0,0,ROUNDUP(N168/O168,0)*O168))</x:f>
      </x:c>
      <x:c r="T168" s="66"/>
      <x:c r="U168" s="66" t="str">
        <x:f>IF(C168="","",S168*T168)</x:f>
      </x:c>
    </x:row>
    <x:row r="169">
      <x:c r="A169" s="69" t="str"/>
      <x:c r="B169" s="69" t="str"/>
      <x:c r="C169" s="58" t="str"/>
      <x:c r="D169" s="58" t="str"/>
      <x:c r="E169" s="58" t="str"/>
      <x:c r="F169" s="70"/>
      <x:c r="G169" s="70"/>
      <x:c r="H169" s="71"/>
      <x:c r="I169" s="72"/>
      <x:c r="J169" s="72"/>
      <x:c r="K169" s="73" t="str">
        <x:f>IF(C169="","",F169*G169*H169*I169+J169)</x:f>
      </x:c>
      <x:c r="L169" s="73"/>
      <x:c r="M169" s="73"/>
      <x:c r="N169" s="73" t="str">
        <x:f>IF(C169="","",MAX(0,K169+M169-L169))</x:f>
      </x:c>
      <x:c r="O169" s="72"/>
      <x:c r="P169" s="60" t="str">
        <x:f>IF(C169="","",IF(N169=0,"정상",IF(N169&gt;O169*10,"MOQ 과잉 확인","정상")))</x:f>
      </x:c>
      <x:c r="Q169" s="58" t="str"/>
      <x:c r="R169" s="60" t="str">
        <x:f>IF(C169="","",IF(Q169="Y",IF(K169&gt;0,"정상","누락"),"정상"))</x:f>
      </x:c>
      <x:c r="S169" s="66" t="str">
        <x:f>IF(C169="","",IF(N169=0,0,ROUNDUP(N169/O169,0)*O169))</x:f>
      </x:c>
      <x:c r="T169" s="66"/>
      <x:c r="U169" s="66" t="str">
        <x:f>IF(C169="","",S169*T169)</x:f>
      </x:c>
    </x:row>
    <x:row r="170">
      <x:c r="A170" s="69" t="str"/>
      <x:c r="B170" s="69" t="str"/>
      <x:c r="C170" s="58" t="str"/>
      <x:c r="D170" s="58" t="str"/>
      <x:c r="E170" s="58" t="str"/>
      <x:c r="F170" s="70"/>
      <x:c r="G170" s="70"/>
      <x:c r="H170" s="71"/>
      <x:c r="I170" s="72"/>
      <x:c r="J170" s="72"/>
      <x:c r="K170" s="73" t="str">
        <x:f>IF(C170="","",F170*G170*H170*I170+J170)</x:f>
      </x:c>
      <x:c r="L170" s="73"/>
      <x:c r="M170" s="73"/>
      <x:c r="N170" s="73" t="str">
        <x:f>IF(C170="","",MAX(0,K170+M170-L170))</x:f>
      </x:c>
      <x:c r="O170" s="72"/>
      <x:c r="P170" s="60" t="str">
        <x:f>IF(C170="","",IF(N170=0,"정상",IF(N170&gt;O170*10,"MOQ 과잉 확인","정상")))</x:f>
      </x:c>
      <x:c r="Q170" s="58" t="str"/>
      <x:c r="R170" s="60" t="str">
        <x:f>IF(C170="","",IF(Q170="Y",IF(K170&gt;0,"정상","누락"),"정상"))</x:f>
      </x:c>
      <x:c r="S170" s="66" t="str">
        <x:f>IF(C170="","",IF(N170=0,0,ROUNDUP(N170/O170,0)*O170))</x:f>
      </x:c>
      <x:c r="T170" s="66"/>
      <x:c r="U170" s="66" t="str">
        <x:f>IF(C170="","",S170*T170)</x:f>
      </x:c>
    </x:row>
    <x:row r="171">
      <x:c r="A171" s="69" t="str"/>
      <x:c r="B171" s="69" t="str"/>
      <x:c r="C171" s="58" t="str"/>
      <x:c r="D171" s="58" t="str"/>
      <x:c r="E171" s="58" t="str"/>
      <x:c r="F171" s="70"/>
      <x:c r="G171" s="70"/>
      <x:c r="H171" s="71"/>
      <x:c r="I171" s="72"/>
      <x:c r="J171" s="72"/>
      <x:c r="K171" s="73" t="str">
        <x:f>IF(C171="","",F171*G171*H171*I171+J171)</x:f>
      </x:c>
      <x:c r="L171" s="73"/>
      <x:c r="M171" s="73"/>
      <x:c r="N171" s="73" t="str">
        <x:f>IF(C171="","",MAX(0,K171+M171-L171))</x:f>
      </x:c>
      <x:c r="O171" s="72"/>
      <x:c r="P171" s="60" t="str">
        <x:f>IF(C171="","",IF(N171=0,"정상",IF(N171&gt;O171*10,"MOQ 과잉 확인","정상")))</x:f>
      </x:c>
      <x:c r="Q171" s="58" t="str"/>
      <x:c r="R171" s="60" t="str">
        <x:f>IF(C171="","",IF(Q171="Y",IF(K171&gt;0,"정상","누락"),"정상"))</x:f>
      </x:c>
      <x:c r="S171" s="66" t="str">
        <x:f>IF(C171="","",IF(N171=0,0,ROUNDUP(N171/O171,0)*O171))</x:f>
      </x:c>
      <x:c r="T171" s="66"/>
      <x:c r="U171" s="66" t="str">
        <x:f>IF(C171="","",S171*T171)</x:f>
      </x:c>
    </x:row>
    <x:row r="172">
      <x:c r="A172" s="69" t="str"/>
      <x:c r="B172" s="69" t="str"/>
      <x:c r="C172" s="58" t="str"/>
      <x:c r="D172" s="58" t="str"/>
      <x:c r="E172" s="58" t="str"/>
      <x:c r="F172" s="70"/>
      <x:c r="G172" s="70"/>
      <x:c r="H172" s="71"/>
      <x:c r="I172" s="72"/>
      <x:c r="J172" s="72"/>
      <x:c r="K172" s="73" t="str">
        <x:f>IF(C172="","",F172*G172*H172*I172+J172)</x:f>
      </x:c>
      <x:c r="L172" s="73"/>
      <x:c r="M172" s="73"/>
      <x:c r="N172" s="73" t="str">
        <x:f>IF(C172="","",MAX(0,K172+M172-L172))</x:f>
      </x:c>
      <x:c r="O172" s="72"/>
      <x:c r="P172" s="60" t="str">
        <x:f>IF(C172="","",IF(N172=0,"정상",IF(N172&gt;O172*10,"MOQ 과잉 확인","정상")))</x:f>
      </x:c>
      <x:c r="Q172" s="58" t="str"/>
      <x:c r="R172" s="60" t="str">
        <x:f>IF(C172="","",IF(Q172="Y",IF(K172&gt;0,"정상","누락"),"정상"))</x:f>
      </x:c>
      <x:c r="S172" s="66" t="str">
        <x:f>IF(C172="","",IF(N172=0,0,ROUNDUP(N172/O172,0)*O172))</x:f>
      </x:c>
      <x:c r="T172" s="66"/>
      <x:c r="U172" s="66" t="str">
        <x:f>IF(C172="","",S172*T172)</x:f>
      </x:c>
    </x:row>
    <x:row r="173">
      <x:c r="A173" s="69" t="str"/>
      <x:c r="B173" s="69" t="str"/>
      <x:c r="C173" s="58" t="str"/>
      <x:c r="D173" s="58" t="str"/>
      <x:c r="E173" s="58" t="str"/>
      <x:c r="F173" s="70"/>
      <x:c r="G173" s="70"/>
      <x:c r="H173" s="71"/>
      <x:c r="I173" s="72"/>
      <x:c r="J173" s="72"/>
      <x:c r="K173" s="73" t="str">
        <x:f>IF(C173="","",F173*G173*H173*I173+J173)</x:f>
      </x:c>
      <x:c r="L173" s="73"/>
      <x:c r="M173" s="73"/>
      <x:c r="N173" s="73" t="str">
        <x:f>IF(C173="","",MAX(0,K173+M173-L173))</x:f>
      </x:c>
      <x:c r="O173" s="72"/>
      <x:c r="P173" s="60" t="str">
        <x:f>IF(C173="","",IF(N173=0,"정상",IF(N173&gt;O173*10,"MOQ 과잉 확인","정상")))</x:f>
      </x:c>
      <x:c r="Q173" s="58" t="str"/>
      <x:c r="R173" s="60" t="str">
        <x:f>IF(C173="","",IF(Q173="Y",IF(K173&gt;0,"정상","누락"),"정상"))</x:f>
      </x:c>
      <x:c r="S173" s="66" t="str">
        <x:f>IF(C173="","",IF(N173=0,0,ROUNDUP(N173/O173,0)*O173))</x:f>
      </x:c>
      <x:c r="T173" s="66"/>
      <x:c r="U173" s="66" t="str">
        <x:f>IF(C173="","",S173*T173)</x:f>
      </x:c>
    </x:row>
    <x:row r="174">
      <x:c r="A174" s="69" t="str"/>
      <x:c r="B174" s="69" t="str"/>
      <x:c r="C174" s="58" t="str"/>
      <x:c r="D174" s="58" t="str"/>
      <x:c r="E174" s="58" t="str"/>
      <x:c r="F174" s="70"/>
      <x:c r="G174" s="70"/>
      <x:c r="H174" s="71"/>
      <x:c r="I174" s="72"/>
      <x:c r="J174" s="72"/>
      <x:c r="K174" s="73" t="str">
        <x:f>IF(C174="","",F174*G174*H174*I174+J174)</x:f>
      </x:c>
      <x:c r="L174" s="73"/>
      <x:c r="M174" s="73"/>
      <x:c r="N174" s="73" t="str">
        <x:f>IF(C174="","",MAX(0,K174+M174-L174))</x:f>
      </x:c>
      <x:c r="O174" s="72"/>
      <x:c r="P174" s="60" t="str">
        <x:f>IF(C174="","",IF(N174=0,"정상",IF(N174&gt;O174*10,"MOQ 과잉 확인","정상")))</x:f>
      </x:c>
      <x:c r="Q174" s="58" t="str"/>
      <x:c r="R174" s="60" t="str">
        <x:f>IF(C174="","",IF(Q174="Y",IF(K174&gt;0,"정상","누락"),"정상"))</x:f>
      </x:c>
      <x:c r="S174" s="66" t="str">
        <x:f>IF(C174="","",IF(N174=0,0,ROUNDUP(N174/O174,0)*O174))</x:f>
      </x:c>
      <x:c r="T174" s="66"/>
      <x:c r="U174" s="66" t="str">
        <x:f>IF(C174="","",S174*T174)</x:f>
      </x:c>
    </x:row>
    <x:row r="175">
      <x:c r="A175" s="69" t="str"/>
      <x:c r="B175" s="69" t="str"/>
      <x:c r="C175" s="58" t="str"/>
      <x:c r="D175" s="58" t="str"/>
      <x:c r="E175" s="58" t="str"/>
      <x:c r="F175" s="70"/>
      <x:c r="G175" s="70"/>
      <x:c r="H175" s="71"/>
      <x:c r="I175" s="72"/>
      <x:c r="J175" s="72"/>
      <x:c r="K175" s="73" t="str">
        <x:f>IF(C175="","",F175*G175*H175*I175+J175)</x:f>
      </x:c>
      <x:c r="L175" s="73"/>
      <x:c r="M175" s="73"/>
      <x:c r="N175" s="73" t="str">
        <x:f>IF(C175="","",MAX(0,K175+M175-L175))</x:f>
      </x:c>
      <x:c r="O175" s="72"/>
      <x:c r="P175" s="60" t="str">
        <x:f>IF(C175="","",IF(N175=0,"정상",IF(N175&gt;O175*10,"MOQ 과잉 확인","정상")))</x:f>
      </x:c>
      <x:c r="Q175" s="58" t="str"/>
      <x:c r="R175" s="60" t="str">
        <x:f>IF(C175="","",IF(Q175="Y",IF(K175&gt;0,"정상","누락"),"정상"))</x:f>
      </x:c>
      <x:c r="S175" s="66" t="str">
        <x:f>IF(C175="","",IF(N175=0,0,ROUNDUP(N175/O175,0)*O175))</x:f>
      </x:c>
      <x:c r="T175" s="66"/>
      <x:c r="U175" s="66" t="str">
        <x:f>IF(C175="","",S175*T175)</x:f>
      </x:c>
    </x:row>
    <x:row r="176">
      <x:c r="A176" s="69" t="str"/>
      <x:c r="B176" s="69" t="str"/>
      <x:c r="C176" s="58" t="str"/>
      <x:c r="D176" s="58" t="str"/>
      <x:c r="E176" s="58" t="str"/>
      <x:c r="F176" s="70"/>
      <x:c r="G176" s="70"/>
      <x:c r="H176" s="71"/>
      <x:c r="I176" s="72"/>
      <x:c r="J176" s="72"/>
      <x:c r="K176" s="73" t="str">
        <x:f>IF(C176="","",F176*G176*H176*I176+J176)</x:f>
      </x:c>
      <x:c r="L176" s="73"/>
      <x:c r="M176" s="73"/>
      <x:c r="N176" s="73" t="str">
        <x:f>IF(C176="","",MAX(0,K176+M176-L176))</x:f>
      </x:c>
      <x:c r="O176" s="72"/>
      <x:c r="P176" s="60" t="str">
        <x:f>IF(C176="","",IF(N176=0,"정상",IF(N176&gt;O176*10,"MOQ 과잉 확인","정상")))</x:f>
      </x:c>
      <x:c r="Q176" s="58" t="str"/>
      <x:c r="R176" s="60" t="str">
        <x:f>IF(C176="","",IF(Q176="Y",IF(K176&gt;0,"정상","누락"),"정상"))</x:f>
      </x:c>
      <x:c r="S176" s="66" t="str">
        <x:f>IF(C176="","",IF(N176=0,0,ROUNDUP(N176/O176,0)*O176))</x:f>
      </x:c>
      <x:c r="T176" s="66"/>
      <x:c r="U176" s="66" t="str">
        <x:f>IF(C176="","",S176*T176)</x:f>
      </x:c>
    </x:row>
    <x:row r="177">
      <x:c r="A177" s="69" t="str"/>
      <x:c r="B177" s="69" t="str"/>
      <x:c r="C177" s="58" t="str"/>
      <x:c r="D177" s="58" t="str"/>
      <x:c r="E177" s="58" t="str"/>
      <x:c r="F177" s="70"/>
      <x:c r="G177" s="70"/>
      <x:c r="H177" s="71"/>
      <x:c r="I177" s="72"/>
      <x:c r="J177" s="72"/>
      <x:c r="K177" s="73" t="str">
        <x:f>IF(C177="","",F177*G177*H177*I177+J177)</x:f>
      </x:c>
      <x:c r="L177" s="73"/>
      <x:c r="M177" s="73"/>
      <x:c r="N177" s="73" t="str">
        <x:f>IF(C177="","",MAX(0,K177+M177-L177))</x:f>
      </x:c>
      <x:c r="O177" s="72"/>
      <x:c r="P177" s="60" t="str">
        <x:f>IF(C177="","",IF(N177=0,"정상",IF(N177&gt;O177*10,"MOQ 과잉 확인","정상")))</x:f>
      </x:c>
      <x:c r="Q177" s="58" t="str"/>
      <x:c r="R177" s="60" t="str">
        <x:f>IF(C177="","",IF(Q177="Y",IF(K177&gt;0,"정상","누락"),"정상"))</x:f>
      </x:c>
      <x:c r="S177" s="66" t="str">
        <x:f>IF(C177="","",IF(N177=0,0,ROUNDUP(N177/O177,0)*O177))</x:f>
      </x:c>
      <x:c r="T177" s="66"/>
      <x:c r="U177" s="66" t="str">
        <x:f>IF(C177="","",S177*T177)</x:f>
      </x:c>
    </x:row>
    <x:row r="178">
      <x:c r="A178" s="69" t="str"/>
      <x:c r="B178" s="69" t="str"/>
      <x:c r="C178" s="58" t="str"/>
      <x:c r="D178" s="58" t="str"/>
      <x:c r="E178" s="58" t="str"/>
      <x:c r="F178" s="70"/>
      <x:c r="G178" s="70"/>
      <x:c r="H178" s="71"/>
      <x:c r="I178" s="72"/>
      <x:c r="J178" s="72"/>
      <x:c r="K178" s="73" t="str">
        <x:f>IF(C178="","",F178*G178*H178*I178+J178)</x:f>
      </x:c>
      <x:c r="L178" s="73"/>
      <x:c r="M178" s="73"/>
      <x:c r="N178" s="73" t="str">
        <x:f>IF(C178="","",MAX(0,K178+M178-L178))</x:f>
      </x:c>
      <x:c r="O178" s="72"/>
      <x:c r="P178" s="60" t="str">
        <x:f>IF(C178="","",IF(N178=0,"정상",IF(N178&gt;O178*10,"MOQ 과잉 확인","정상")))</x:f>
      </x:c>
      <x:c r="Q178" s="58" t="str"/>
      <x:c r="R178" s="60" t="str">
        <x:f>IF(C178="","",IF(Q178="Y",IF(K178&gt;0,"정상","누락"),"정상"))</x:f>
      </x:c>
      <x:c r="S178" s="66" t="str">
        <x:f>IF(C178="","",IF(N178=0,0,ROUNDUP(N178/O178,0)*O178))</x:f>
      </x:c>
      <x:c r="T178" s="66"/>
      <x:c r="U178" s="66" t="str">
        <x:f>IF(C178="","",S178*T178)</x:f>
      </x:c>
    </x:row>
    <x:row r="179">
      <x:c r="A179" s="69" t="str"/>
      <x:c r="B179" s="69" t="str"/>
      <x:c r="C179" s="58" t="str"/>
      <x:c r="D179" s="58" t="str"/>
      <x:c r="E179" s="58" t="str"/>
      <x:c r="F179" s="70"/>
      <x:c r="G179" s="70"/>
      <x:c r="H179" s="71"/>
      <x:c r="I179" s="72"/>
      <x:c r="J179" s="72"/>
      <x:c r="K179" s="73" t="str">
        <x:f>IF(C179="","",F179*G179*H179*I179+J179)</x:f>
      </x:c>
      <x:c r="L179" s="73"/>
      <x:c r="M179" s="73"/>
      <x:c r="N179" s="73" t="str">
        <x:f>IF(C179="","",MAX(0,K179+M179-L179))</x:f>
      </x:c>
      <x:c r="O179" s="72"/>
      <x:c r="P179" s="60" t="str">
        <x:f>IF(C179="","",IF(N179=0,"정상",IF(N179&gt;O179*10,"MOQ 과잉 확인","정상")))</x:f>
      </x:c>
      <x:c r="Q179" s="58" t="str"/>
      <x:c r="R179" s="60" t="str">
        <x:f>IF(C179="","",IF(Q179="Y",IF(K179&gt;0,"정상","누락"),"정상"))</x:f>
      </x:c>
      <x:c r="S179" s="66" t="str">
        <x:f>IF(C179="","",IF(N179=0,0,ROUNDUP(N179/O179,0)*O179))</x:f>
      </x:c>
      <x:c r="T179" s="66"/>
      <x:c r="U179" s="66" t="str">
        <x:f>IF(C179="","",S179*T179)</x:f>
      </x:c>
    </x:row>
    <x:row r="180">
      <x:c r="A180" s="69" t="str"/>
      <x:c r="B180" s="69" t="str"/>
      <x:c r="C180" s="58" t="str"/>
      <x:c r="D180" s="58" t="str"/>
      <x:c r="E180" s="58" t="str"/>
      <x:c r="F180" s="70"/>
      <x:c r="G180" s="70"/>
      <x:c r="H180" s="71"/>
      <x:c r="I180" s="72"/>
      <x:c r="J180" s="72"/>
      <x:c r="K180" s="73" t="str">
        <x:f>IF(C180="","",F180*G180*H180*I180+J180)</x:f>
      </x:c>
      <x:c r="L180" s="73"/>
      <x:c r="M180" s="73"/>
      <x:c r="N180" s="73" t="str">
        <x:f>IF(C180="","",MAX(0,K180+M180-L180))</x:f>
      </x:c>
      <x:c r="O180" s="72"/>
      <x:c r="P180" s="60" t="str">
        <x:f>IF(C180="","",IF(N180=0,"정상",IF(N180&gt;O180*10,"MOQ 과잉 확인","정상")))</x:f>
      </x:c>
      <x:c r="Q180" s="58" t="str"/>
      <x:c r="R180" s="60" t="str">
        <x:f>IF(C180="","",IF(Q180="Y",IF(K180&gt;0,"정상","누락"),"정상"))</x:f>
      </x:c>
      <x:c r="S180" s="66" t="str">
        <x:f>IF(C180="","",IF(N180=0,0,ROUNDUP(N180/O180,0)*O180))</x:f>
      </x:c>
      <x:c r="T180" s="66"/>
      <x:c r="U180" s="66" t="str">
        <x:f>IF(C180="","",S180*T180)</x:f>
      </x:c>
    </x:row>
    <x:row r="181">
      <x:c r="A181" s="69" t="str"/>
      <x:c r="B181" s="69" t="str"/>
      <x:c r="C181" s="58" t="str"/>
      <x:c r="D181" s="58" t="str"/>
      <x:c r="E181" s="58" t="str"/>
      <x:c r="F181" s="70"/>
      <x:c r="G181" s="70"/>
      <x:c r="H181" s="71"/>
      <x:c r="I181" s="72"/>
      <x:c r="J181" s="72"/>
      <x:c r="K181" s="73" t="str">
        <x:f>IF(C181="","",F181*G181*H181*I181+J181)</x:f>
      </x:c>
      <x:c r="L181" s="73"/>
      <x:c r="M181" s="73"/>
      <x:c r="N181" s="73" t="str">
        <x:f>IF(C181="","",MAX(0,K181+M181-L181))</x:f>
      </x:c>
      <x:c r="O181" s="72"/>
      <x:c r="P181" s="60" t="str">
        <x:f>IF(C181="","",IF(N181=0,"정상",IF(N181&gt;O181*10,"MOQ 과잉 확인","정상")))</x:f>
      </x:c>
      <x:c r="Q181" s="58" t="str"/>
      <x:c r="R181" s="60" t="str">
        <x:f>IF(C181="","",IF(Q181="Y",IF(K181&gt;0,"정상","누락"),"정상"))</x:f>
      </x:c>
      <x:c r="S181" s="66" t="str">
        <x:f>IF(C181="","",IF(N181=0,0,ROUNDUP(N181/O181,0)*O181))</x:f>
      </x:c>
      <x:c r="T181" s="66"/>
      <x:c r="U181" s="66" t="str">
        <x:f>IF(C181="","",S181*T181)</x:f>
      </x:c>
    </x:row>
    <x:row r="182">
      <x:c r="A182" s="69" t="str"/>
      <x:c r="B182" s="69" t="str"/>
      <x:c r="C182" s="58" t="str"/>
      <x:c r="D182" s="58" t="str"/>
      <x:c r="E182" s="58" t="str"/>
      <x:c r="F182" s="70"/>
      <x:c r="G182" s="70"/>
      <x:c r="H182" s="71"/>
      <x:c r="I182" s="72"/>
      <x:c r="J182" s="72"/>
      <x:c r="K182" s="73" t="str">
        <x:f>IF(C182="","",F182*G182*H182*I182+J182)</x:f>
      </x:c>
      <x:c r="L182" s="73"/>
      <x:c r="M182" s="73"/>
      <x:c r="N182" s="73" t="str">
        <x:f>IF(C182="","",MAX(0,K182+M182-L182))</x:f>
      </x:c>
      <x:c r="O182" s="72"/>
      <x:c r="P182" s="60" t="str">
        <x:f>IF(C182="","",IF(N182=0,"정상",IF(N182&gt;O182*10,"MOQ 과잉 확인","정상")))</x:f>
      </x:c>
      <x:c r="Q182" s="58" t="str"/>
      <x:c r="R182" s="60" t="str">
        <x:f>IF(C182="","",IF(Q182="Y",IF(K182&gt;0,"정상","누락"),"정상"))</x:f>
      </x:c>
      <x:c r="S182" s="66" t="str">
        <x:f>IF(C182="","",IF(N182=0,0,ROUNDUP(N182/O182,0)*O182))</x:f>
      </x:c>
      <x:c r="T182" s="66"/>
      <x:c r="U182" s="66" t="str">
        <x:f>IF(C182="","",S182*T182)</x:f>
      </x:c>
    </x:row>
    <x:row r="183">
      <x:c r="A183" s="69" t="str"/>
      <x:c r="B183" s="69" t="str"/>
      <x:c r="C183" s="58" t="str"/>
      <x:c r="D183" s="58" t="str"/>
      <x:c r="E183" s="58" t="str"/>
      <x:c r="F183" s="70"/>
      <x:c r="G183" s="70"/>
      <x:c r="H183" s="71"/>
      <x:c r="I183" s="72"/>
      <x:c r="J183" s="72"/>
      <x:c r="K183" s="73" t="str">
        <x:f>IF(C183="","",F183*G183*H183*I183+J183)</x:f>
      </x:c>
      <x:c r="L183" s="73"/>
      <x:c r="M183" s="73"/>
      <x:c r="N183" s="73" t="str">
        <x:f>IF(C183="","",MAX(0,K183+M183-L183))</x:f>
      </x:c>
      <x:c r="O183" s="72"/>
      <x:c r="P183" s="60" t="str">
        <x:f>IF(C183="","",IF(N183=0,"정상",IF(N183&gt;O183*10,"MOQ 과잉 확인","정상")))</x:f>
      </x:c>
      <x:c r="Q183" s="58" t="str"/>
      <x:c r="R183" s="60" t="str">
        <x:f>IF(C183="","",IF(Q183="Y",IF(K183&gt;0,"정상","누락"),"정상"))</x:f>
      </x:c>
      <x:c r="S183" s="66" t="str">
        <x:f>IF(C183="","",IF(N183=0,0,ROUNDUP(N183/O183,0)*O183))</x:f>
      </x:c>
      <x:c r="T183" s="66"/>
      <x:c r="U183" s="66" t="str">
        <x:f>IF(C183="","",S183*T183)</x:f>
      </x:c>
    </x:row>
    <x:row r="184">
      <x:c r="A184" s="69" t="str"/>
      <x:c r="B184" s="69" t="str"/>
      <x:c r="C184" s="58" t="str"/>
      <x:c r="D184" s="58" t="str"/>
      <x:c r="E184" s="58" t="str"/>
      <x:c r="F184" s="70"/>
      <x:c r="G184" s="70"/>
      <x:c r="H184" s="71"/>
      <x:c r="I184" s="72"/>
      <x:c r="J184" s="72"/>
      <x:c r="K184" s="73" t="str">
        <x:f>IF(C184="","",F184*G184*H184*I184+J184)</x:f>
      </x:c>
      <x:c r="L184" s="73"/>
      <x:c r="M184" s="73"/>
      <x:c r="N184" s="73" t="str">
        <x:f>IF(C184="","",MAX(0,K184+M184-L184))</x:f>
      </x:c>
      <x:c r="O184" s="72"/>
      <x:c r="P184" s="60" t="str">
        <x:f>IF(C184="","",IF(N184=0,"정상",IF(N184&gt;O184*10,"MOQ 과잉 확인","정상")))</x:f>
      </x:c>
      <x:c r="Q184" s="58" t="str"/>
      <x:c r="R184" s="60" t="str">
        <x:f>IF(C184="","",IF(Q184="Y",IF(K184&gt;0,"정상","누락"),"정상"))</x:f>
      </x:c>
      <x:c r="S184" s="66" t="str">
        <x:f>IF(C184="","",IF(N184=0,0,ROUNDUP(N184/O184,0)*O184))</x:f>
      </x:c>
      <x:c r="T184" s="66"/>
      <x:c r="U184" s="66" t="str">
        <x:f>IF(C184="","",S184*T184)</x:f>
      </x:c>
    </x:row>
    <x:row r="185">
      <x:c r="A185" s="69" t="str"/>
      <x:c r="B185" s="69" t="str"/>
      <x:c r="C185" s="58" t="str"/>
      <x:c r="D185" s="58" t="str"/>
      <x:c r="E185" s="58" t="str"/>
      <x:c r="F185" s="70"/>
      <x:c r="G185" s="70"/>
      <x:c r="H185" s="71"/>
      <x:c r="I185" s="72"/>
      <x:c r="J185" s="72"/>
      <x:c r="K185" s="73" t="str">
        <x:f>IF(C185="","",F185*G185*H185*I185+J185)</x:f>
      </x:c>
      <x:c r="L185" s="73"/>
      <x:c r="M185" s="73"/>
      <x:c r="N185" s="73" t="str">
        <x:f>IF(C185="","",MAX(0,K185+M185-L185))</x:f>
      </x:c>
      <x:c r="O185" s="72"/>
      <x:c r="P185" s="60" t="str">
        <x:f>IF(C185="","",IF(N185=0,"정상",IF(N185&gt;O185*10,"MOQ 과잉 확인","정상")))</x:f>
      </x:c>
      <x:c r="Q185" s="58" t="str"/>
      <x:c r="R185" s="60" t="str">
        <x:f>IF(C185="","",IF(Q185="Y",IF(K185&gt;0,"정상","누락"),"정상"))</x:f>
      </x:c>
      <x:c r="S185" s="66" t="str">
        <x:f>IF(C185="","",IF(N185=0,0,ROUNDUP(N185/O185,0)*O185))</x:f>
      </x:c>
      <x:c r="T185" s="66"/>
      <x:c r="U185" s="66" t="str">
        <x:f>IF(C185="","",S185*T185)</x:f>
      </x:c>
    </x:row>
    <x:row r="186">
      <x:c r="A186" s="69" t="str"/>
      <x:c r="B186" s="69" t="str"/>
      <x:c r="C186" s="58" t="str"/>
      <x:c r="D186" s="58" t="str"/>
      <x:c r="E186" s="58" t="str"/>
      <x:c r="F186" s="70"/>
      <x:c r="G186" s="70"/>
      <x:c r="H186" s="71"/>
      <x:c r="I186" s="72"/>
      <x:c r="J186" s="72"/>
      <x:c r="K186" s="73" t="str">
        <x:f>IF(C186="","",F186*G186*H186*I186+J186)</x:f>
      </x:c>
      <x:c r="L186" s="73"/>
      <x:c r="M186" s="73"/>
      <x:c r="N186" s="73" t="str">
        <x:f>IF(C186="","",MAX(0,K186+M186-L186))</x:f>
      </x:c>
      <x:c r="O186" s="72"/>
      <x:c r="P186" s="60" t="str">
        <x:f>IF(C186="","",IF(N186=0,"정상",IF(N186&gt;O186*10,"MOQ 과잉 확인","정상")))</x:f>
      </x:c>
      <x:c r="Q186" s="58" t="str"/>
      <x:c r="R186" s="60" t="str">
        <x:f>IF(C186="","",IF(Q186="Y",IF(K186&gt;0,"정상","누락"),"정상"))</x:f>
      </x:c>
      <x:c r="S186" s="66" t="str">
        <x:f>IF(C186="","",IF(N186=0,0,ROUNDUP(N186/O186,0)*O186))</x:f>
      </x:c>
      <x:c r="T186" s="66"/>
      <x:c r="U186" s="66" t="str">
        <x:f>IF(C186="","",S186*T186)</x:f>
      </x:c>
    </x:row>
    <x:row r="187">
      <x:c r="A187" s="69" t="str"/>
      <x:c r="B187" s="69" t="str"/>
      <x:c r="C187" s="58" t="str"/>
      <x:c r="D187" s="58" t="str"/>
      <x:c r="E187" s="58" t="str"/>
      <x:c r="F187" s="70"/>
      <x:c r="G187" s="70"/>
      <x:c r="H187" s="71"/>
      <x:c r="I187" s="72"/>
      <x:c r="J187" s="72"/>
      <x:c r="K187" s="73" t="str">
        <x:f>IF(C187="","",F187*G187*H187*I187+J187)</x:f>
      </x:c>
      <x:c r="L187" s="73"/>
      <x:c r="M187" s="73"/>
      <x:c r="N187" s="73" t="str">
        <x:f>IF(C187="","",MAX(0,K187+M187-L187))</x:f>
      </x:c>
      <x:c r="O187" s="72"/>
      <x:c r="P187" s="60" t="str">
        <x:f>IF(C187="","",IF(N187=0,"정상",IF(N187&gt;O187*10,"MOQ 과잉 확인","정상")))</x:f>
      </x:c>
      <x:c r="Q187" s="58" t="str"/>
      <x:c r="R187" s="60" t="str">
        <x:f>IF(C187="","",IF(Q187="Y",IF(K187&gt;0,"정상","누락"),"정상"))</x:f>
      </x:c>
      <x:c r="S187" s="66" t="str">
        <x:f>IF(C187="","",IF(N187=0,0,ROUNDUP(N187/O187,0)*O187))</x:f>
      </x:c>
      <x:c r="T187" s="66"/>
      <x:c r="U187" s="66" t="str">
        <x:f>IF(C187="","",S187*T187)</x:f>
      </x:c>
    </x:row>
    <x:row r="188">
      <x:c r="A188" s="69" t="str"/>
      <x:c r="B188" s="69" t="str"/>
      <x:c r="C188" s="58" t="str"/>
      <x:c r="D188" s="58" t="str"/>
      <x:c r="E188" s="58" t="str"/>
      <x:c r="F188" s="70"/>
      <x:c r="G188" s="70"/>
      <x:c r="H188" s="71"/>
      <x:c r="I188" s="72"/>
      <x:c r="J188" s="72"/>
      <x:c r="K188" s="73" t="str">
        <x:f>IF(C188="","",F188*G188*H188*I188+J188)</x:f>
      </x:c>
      <x:c r="L188" s="73"/>
      <x:c r="M188" s="73"/>
      <x:c r="N188" s="73" t="str">
        <x:f>IF(C188="","",MAX(0,K188+M188-L188))</x:f>
      </x:c>
      <x:c r="O188" s="72"/>
      <x:c r="P188" s="60" t="str">
        <x:f>IF(C188="","",IF(N188=0,"정상",IF(N188&gt;O188*10,"MOQ 과잉 확인","정상")))</x:f>
      </x:c>
      <x:c r="Q188" s="58" t="str"/>
      <x:c r="R188" s="60" t="str">
        <x:f>IF(C188="","",IF(Q188="Y",IF(K188&gt;0,"정상","누락"),"정상"))</x:f>
      </x:c>
      <x:c r="S188" s="66" t="str">
        <x:f>IF(C188="","",IF(N188=0,0,ROUNDUP(N188/O188,0)*O188))</x:f>
      </x:c>
      <x:c r="T188" s="66"/>
      <x:c r="U188" s="66" t="str">
        <x:f>IF(C188="","",S188*T188)</x:f>
      </x:c>
    </x:row>
    <x:row r="189">
      <x:c r="A189" s="69" t="str"/>
      <x:c r="B189" s="69" t="str"/>
      <x:c r="C189" s="58" t="str"/>
      <x:c r="D189" s="58" t="str"/>
      <x:c r="E189" s="58" t="str"/>
      <x:c r="F189" s="70"/>
      <x:c r="G189" s="70"/>
      <x:c r="H189" s="71"/>
      <x:c r="I189" s="72"/>
      <x:c r="J189" s="72"/>
      <x:c r="K189" s="73" t="str">
        <x:f>IF(C189="","",F189*G189*H189*I189+J189)</x:f>
      </x:c>
      <x:c r="L189" s="73"/>
      <x:c r="M189" s="73"/>
      <x:c r="N189" s="73" t="str">
        <x:f>IF(C189="","",MAX(0,K189+M189-L189))</x:f>
      </x:c>
      <x:c r="O189" s="72"/>
      <x:c r="P189" s="60" t="str">
        <x:f>IF(C189="","",IF(N189=0,"정상",IF(N189&gt;O189*10,"MOQ 과잉 확인","정상")))</x:f>
      </x:c>
      <x:c r="Q189" s="58" t="str"/>
      <x:c r="R189" s="60" t="str">
        <x:f>IF(C189="","",IF(Q189="Y",IF(K189&gt;0,"정상","누락"),"정상"))</x:f>
      </x:c>
      <x:c r="S189" s="66" t="str">
        <x:f>IF(C189="","",IF(N189=0,0,ROUNDUP(N189/O189,0)*O189))</x:f>
      </x:c>
      <x:c r="T189" s="66"/>
      <x:c r="U189" s="66" t="str">
        <x:f>IF(C189="","",S189*T189)</x:f>
      </x:c>
    </x:row>
    <x:row r="190">
      <x:c r="A190" s="69" t="str"/>
      <x:c r="B190" s="69" t="str"/>
      <x:c r="C190" s="58" t="str"/>
      <x:c r="D190" s="58" t="str"/>
      <x:c r="E190" s="58" t="str"/>
      <x:c r="F190" s="70"/>
      <x:c r="G190" s="70"/>
      <x:c r="H190" s="71"/>
      <x:c r="I190" s="72"/>
      <x:c r="J190" s="72"/>
      <x:c r="K190" s="73" t="str">
        <x:f>IF(C190="","",F190*G190*H190*I190+J190)</x:f>
      </x:c>
      <x:c r="L190" s="73"/>
      <x:c r="M190" s="73"/>
      <x:c r="N190" s="73" t="str">
        <x:f>IF(C190="","",MAX(0,K190+M190-L190))</x:f>
      </x:c>
      <x:c r="O190" s="72"/>
      <x:c r="P190" s="60" t="str">
        <x:f>IF(C190="","",IF(N190=0,"정상",IF(N190&gt;O190*10,"MOQ 과잉 확인","정상")))</x:f>
      </x:c>
      <x:c r="Q190" s="58" t="str"/>
      <x:c r="R190" s="60" t="str">
        <x:f>IF(C190="","",IF(Q190="Y",IF(K190&gt;0,"정상","누락"),"정상"))</x:f>
      </x:c>
      <x:c r="S190" s="66" t="str">
        <x:f>IF(C190="","",IF(N190=0,0,ROUNDUP(N190/O190,0)*O190))</x:f>
      </x:c>
      <x:c r="T190" s="66"/>
      <x:c r="U190" s="66" t="str">
        <x:f>IF(C190="","",S190*T190)</x:f>
      </x:c>
    </x:row>
    <x:row r="191">
      <x:c r="A191" s="69" t="str"/>
      <x:c r="B191" s="69" t="str"/>
      <x:c r="C191" s="58" t="str"/>
      <x:c r="D191" s="58" t="str"/>
      <x:c r="E191" s="58" t="str"/>
      <x:c r="F191" s="70"/>
      <x:c r="G191" s="70"/>
      <x:c r="H191" s="71"/>
      <x:c r="I191" s="72"/>
      <x:c r="J191" s="72"/>
      <x:c r="K191" s="73" t="str">
        <x:f>IF(C191="","",F191*G191*H191*I191+J191)</x:f>
      </x:c>
      <x:c r="L191" s="73"/>
      <x:c r="M191" s="73"/>
      <x:c r="N191" s="73" t="str">
        <x:f>IF(C191="","",MAX(0,K191+M191-L191))</x:f>
      </x:c>
      <x:c r="O191" s="72"/>
      <x:c r="P191" s="60" t="str">
        <x:f>IF(C191="","",IF(N191=0,"정상",IF(N191&gt;O191*10,"MOQ 과잉 확인","정상")))</x:f>
      </x:c>
      <x:c r="Q191" s="58" t="str"/>
      <x:c r="R191" s="60" t="str">
        <x:f>IF(C191="","",IF(Q191="Y",IF(K191&gt;0,"정상","누락"),"정상"))</x:f>
      </x:c>
      <x:c r="S191" s="66" t="str">
        <x:f>IF(C191="","",IF(N191=0,0,ROUNDUP(N191/O191,0)*O191))</x:f>
      </x:c>
      <x:c r="T191" s="66"/>
      <x:c r="U191" s="66" t="str">
        <x:f>IF(C191="","",S191*T191)</x:f>
      </x:c>
    </x:row>
    <x:row r="192">
      <x:c r="A192" s="69" t="str"/>
      <x:c r="B192" s="69" t="str"/>
      <x:c r="C192" s="58" t="str"/>
      <x:c r="D192" s="58" t="str"/>
      <x:c r="E192" s="58" t="str"/>
      <x:c r="F192" s="70"/>
      <x:c r="G192" s="70"/>
      <x:c r="H192" s="71"/>
      <x:c r="I192" s="72"/>
      <x:c r="J192" s="72"/>
      <x:c r="K192" s="73" t="str">
        <x:f>IF(C192="","",F192*G192*H192*I192+J192)</x:f>
      </x:c>
      <x:c r="L192" s="73"/>
      <x:c r="M192" s="73"/>
      <x:c r="N192" s="73" t="str">
        <x:f>IF(C192="","",MAX(0,K192+M192-L192))</x:f>
      </x:c>
      <x:c r="O192" s="72"/>
      <x:c r="P192" s="60" t="str">
        <x:f>IF(C192="","",IF(N192=0,"정상",IF(N192&gt;O192*10,"MOQ 과잉 확인","정상")))</x:f>
      </x:c>
      <x:c r="Q192" s="58" t="str"/>
      <x:c r="R192" s="60" t="str">
        <x:f>IF(C192="","",IF(Q192="Y",IF(K192&gt;0,"정상","누락"),"정상"))</x:f>
      </x:c>
      <x:c r="S192" s="66" t="str">
        <x:f>IF(C192="","",IF(N192=0,0,ROUNDUP(N192/O192,0)*O192))</x:f>
      </x:c>
      <x:c r="T192" s="66"/>
      <x:c r="U192" s="66" t="str">
        <x:f>IF(C192="","",S192*T192)</x:f>
      </x:c>
    </x:row>
    <x:row r="193">
      <x:c r="A193" s="69" t="str"/>
      <x:c r="B193" s="69" t="str"/>
      <x:c r="C193" s="58" t="str"/>
      <x:c r="D193" s="58" t="str"/>
      <x:c r="E193" s="58" t="str"/>
      <x:c r="F193" s="70"/>
      <x:c r="G193" s="70"/>
      <x:c r="H193" s="71"/>
      <x:c r="I193" s="72"/>
      <x:c r="J193" s="72"/>
      <x:c r="K193" s="73" t="str">
        <x:f>IF(C193="","",F193*G193*H193*I193+J193)</x:f>
      </x:c>
      <x:c r="L193" s="73"/>
      <x:c r="M193" s="73"/>
      <x:c r="N193" s="73" t="str">
        <x:f>IF(C193="","",MAX(0,K193+M193-L193))</x:f>
      </x:c>
      <x:c r="O193" s="72"/>
      <x:c r="P193" s="60" t="str">
        <x:f>IF(C193="","",IF(N193=0,"정상",IF(N193&gt;O193*10,"MOQ 과잉 확인","정상")))</x:f>
      </x:c>
      <x:c r="Q193" s="58" t="str"/>
      <x:c r="R193" s="60" t="str">
        <x:f>IF(C193="","",IF(Q193="Y",IF(K193&gt;0,"정상","누락"),"정상"))</x:f>
      </x:c>
      <x:c r="S193" s="66" t="str">
        <x:f>IF(C193="","",IF(N193=0,0,ROUNDUP(N193/O193,0)*O193))</x:f>
      </x:c>
      <x:c r="T193" s="66"/>
      <x:c r="U193" s="66" t="str">
        <x:f>IF(C193="","",S193*T193)</x:f>
      </x:c>
    </x:row>
    <x:row r="194">
      <x:c r="A194" s="69" t="str"/>
      <x:c r="B194" s="69" t="str"/>
      <x:c r="C194" s="58" t="str"/>
      <x:c r="D194" s="58" t="str"/>
      <x:c r="E194" s="58" t="str"/>
      <x:c r="F194" s="70"/>
      <x:c r="G194" s="70"/>
      <x:c r="H194" s="71"/>
      <x:c r="I194" s="72"/>
      <x:c r="J194" s="72"/>
      <x:c r="K194" s="73" t="str">
        <x:f>IF(C194="","",F194*G194*H194*I194+J194)</x:f>
      </x:c>
      <x:c r="L194" s="73"/>
      <x:c r="M194" s="73"/>
      <x:c r="N194" s="73" t="str">
        <x:f>IF(C194="","",MAX(0,K194+M194-L194))</x:f>
      </x:c>
      <x:c r="O194" s="72"/>
      <x:c r="P194" s="60" t="str">
        <x:f>IF(C194="","",IF(N194=0,"정상",IF(N194&gt;O194*10,"MOQ 과잉 확인","정상")))</x:f>
      </x:c>
      <x:c r="Q194" s="58" t="str"/>
      <x:c r="R194" s="60" t="str">
        <x:f>IF(C194="","",IF(Q194="Y",IF(K194&gt;0,"정상","누락"),"정상"))</x:f>
      </x:c>
      <x:c r="S194" s="66" t="str">
        <x:f>IF(C194="","",IF(N194=0,0,ROUNDUP(N194/O194,0)*O194))</x:f>
      </x:c>
      <x:c r="T194" s="66"/>
      <x:c r="U194" s="66" t="str">
        <x:f>IF(C194="","",S194*T194)</x:f>
      </x:c>
    </x:row>
    <x:row r="195">
      <x:c r="A195" s="69" t="str"/>
      <x:c r="B195" s="69" t="str"/>
      <x:c r="C195" s="58" t="str"/>
      <x:c r="D195" s="58" t="str"/>
      <x:c r="E195" s="58" t="str"/>
      <x:c r="F195" s="70"/>
      <x:c r="G195" s="70"/>
      <x:c r="H195" s="71"/>
      <x:c r="I195" s="72"/>
      <x:c r="J195" s="72"/>
      <x:c r="K195" s="73" t="str">
        <x:f>IF(C195="","",F195*G195*H195*I195+J195)</x:f>
      </x:c>
      <x:c r="L195" s="73"/>
      <x:c r="M195" s="73"/>
      <x:c r="N195" s="73" t="str">
        <x:f>IF(C195="","",MAX(0,K195+M195-L195))</x:f>
      </x:c>
      <x:c r="O195" s="72"/>
      <x:c r="P195" s="60" t="str">
        <x:f>IF(C195="","",IF(N195=0,"정상",IF(N195&gt;O195*10,"MOQ 과잉 확인","정상")))</x:f>
      </x:c>
      <x:c r="Q195" s="58" t="str"/>
      <x:c r="R195" s="60" t="str">
        <x:f>IF(C195="","",IF(Q195="Y",IF(K195&gt;0,"정상","누락"),"정상"))</x:f>
      </x:c>
      <x:c r="S195" s="66" t="str">
        <x:f>IF(C195="","",IF(N195=0,0,ROUNDUP(N195/O195,0)*O195))</x:f>
      </x:c>
      <x:c r="T195" s="66"/>
      <x:c r="U195" s="66" t="str">
        <x:f>IF(C195="","",S195*T195)</x:f>
      </x:c>
    </x:row>
    <x:row r="196">
      <x:c r="A196" s="69" t="str"/>
      <x:c r="B196" s="69" t="str"/>
      <x:c r="C196" s="58" t="str"/>
      <x:c r="D196" s="58" t="str"/>
      <x:c r="E196" s="58" t="str"/>
      <x:c r="F196" s="70"/>
      <x:c r="G196" s="70"/>
      <x:c r="H196" s="71"/>
      <x:c r="I196" s="72"/>
      <x:c r="J196" s="72"/>
      <x:c r="K196" s="73" t="str">
        <x:f>IF(C196="","",F196*G196*H196*I196+J196)</x:f>
      </x:c>
      <x:c r="L196" s="73"/>
      <x:c r="M196" s="73"/>
      <x:c r="N196" s="73" t="str">
        <x:f>IF(C196="","",MAX(0,K196+M196-L196))</x:f>
      </x:c>
      <x:c r="O196" s="72"/>
      <x:c r="P196" s="60" t="str">
        <x:f>IF(C196="","",IF(N196=0,"정상",IF(N196&gt;O196*10,"MOQ 과잉 확인","정상")))</x:f>
      </x:c>
      <x:c r="Q196" s="58" t="str"/>
      <x:c r="R196" s="60" t="str">
        <x:f>IF(C196="","",IF(Q196="Y",IF(K196&gt;0,"정상","누락"),"정상"))</x:f>
      </x:c>
      <x:c r="S196" s="66" t="str">
        <x:f>IF(C196="","",IF(N196=0,0,ROUNDUP(N196/O196,0)*O196))</x:f>
      </x:c>
      <x:c r="T196" s="66"/>
      <x:c r="U196" s="66" t="str">
        <x:f>IF(C196="","",S196*T196)</x:f>
      </x:c>
    </x:row>
    <x:row r="197">
      <x:c r="A197" s="69" t="str"/>
      <x:c r="B197" s="69" t="str"/>
      <x:c r="C197" s="58" t="str"/>
      <x:c r="D197" s="58" t="str"/>
      <x:c r="E197" s="58" t="str"/>
      <x:c r="F197" s="70"/>
      <x:c r="G197" s="70"/>
      <x:c r="H197" s="71"/>
      <x:c r="I197" s="72"/>
      <x:c r="J197" s="72"/>
      <x:c r="K197" s="73" t="str">
        <x:f>IF(C197="","",F197*G197*H197*I197+J197)</x:f>
      </x:c>
      <x:c r="L197" s="73"/>
      <x:c r="M197" s="73"/>
      <x:c r="N197" s="73" t="str">
        <x:f>IF(C197="","",MAX(0,K197+M197-L197))</x:f>
      </x:c>
      <x:c r="O197" s="72"/>
      <x:c r="P197" s="60" t="str">
        <x:f>IF(C197="","",IF(N197=0,"정상",IF(N197&gt;O197*10,"MOQ 과잉 확인","정상")))</x:f>
      </x:c>
      <x:c r="Q197" s="58" t="str"/>
      <x:c r="R197" s="60" t="str">
        <x:f>IF(C197="","",IF(Q197="Y",IF(K197&gt;0,"정상","누락"),"정상"))</x:f>
      </x:c>
      <x:c r="S197" s="66" t="str">
        <x:f>IF(C197="","",IF(N197=0,0,ROUNDUP(N197/O197,0)*O197))</x:f>
      </x:c>
      <x:c r="T197" s="66"/>
      <x:c r="U197" s="66" t="str">
        <x:f>IF(C197="","",S197*T197)</x:f>
      </x:c>
    </x:row>
    <x:row r="198">
      <x:c r="A198" s="69" t="str"/>
      <x:c r="B198" s="69" t="str"/>
      <x:c r="C198" s="58" t="str"/>
      <x:c r="D198" s="58" t="str"/>
      <x:c r="E198" s="58" t="str"/>
      <x:c r="F198" s="70"/>
      <x:c r="G198" s="70"/>
      <x:c r="H198" s="71"/>
      <x:c r="I198" s="72"/>
      <x:c r="J198" s="72"/>
      <x:c r="K198" s="73" t="str">
        <x:f>IF(C198="","",F198*G198*H198*I198+J198)</x:f>
      </x:c>
      <x:c r="L198" s="73"/>
      <x:c r="M198" s="73"/>
      <x:c r="N198" s="73" t="str">
        <x:f>IF(C198="","",MAX(0,K198+M198-L198))</x:f>
      </x:c>
      <x:c r="O198" s="72"/>
      <x:c r="P198" s="60" t="str">
        <x:f>IF(C198="","",IF(N198=0,"정상",IF(N198&gt;O198*10,"MOQ 과잉 확인","정상")))</x:f>
      </x:c>
      <x:c r="Q198" s="58" t="str"/>
      <x:c r="R198" s="60" t="str">
        <x:f>IF(C198="","",IF(Q198="Y",IF(K198&gt;0,"정상","누락"),"정상"))</x:f>
      </x:c>
      <x:c r="S198" s="66" t="str">
        <x:f>IF(C198="","",IF(N198=0,0,ROUNDUP(N198/O198,0)*O198))</x:f>
      </x:c>
      <x:c r="T198" s="66"/>
      <x:c r="U198" s="66" t="str">
        <x:f>IF(C198="","",S198*T198)</x:f>
      </x:c>
    </x:row>
    <x:row r="199">
      <x:c r="A199" s="69" t="str"/>
      <x:c r="B199" s="69" t="str"/>
      <x:c r="C199" s="58" t="str"/>
      <x:c r="D199" s="58" t="str"/>
      <x:c r="E199" s="58" t="str"/>
      <x:c r="F199" s="70"/>
      <x:c r="G199" s="70"/>
      <x:c r="H199" s="71"/>
      <x:c r="I199" s="72"/>
      <x:c r="J199" s="72"/>
      <x:c r="K199" s="73" t="str">
        <x:f>IF(C199="","",F199*G199*H199*I199+J199)</x:f>
      </x:c>
      <x:c r="L199" s="73"/>
      <x:c r="M199" s="73"/>
      <x:c r="N199" s="73" t="str">
        <x:f>IF(C199="","",MAX(0,K199+M199-L199))</x:f>
      </x:c>
      <x:c r="O199" s="72"/>
      <x:c r="P199" s="60" t="str">
        <x:f>IF(C199="","",IF(N199=0,"정상",IF(N199&gt;O199*10,"MOQ 과잉 확인","정상")))</x:f>
      </x:c>
      <x:c r="Q199" s="58" t="str"/>
      <x:c r="R199" s="60" t="str">
        <x:f>IF(C199="","",IF(Q199="Y",IF(K199&gt;0,"정상","누락"),"정상"))</x:f>
      </x:c>
      <x:c r="S199" s="66" t="str">
        <x:f>IF(C199="","",IF(N199=0,0,ROUNDUP(N199/O199,0)*O199))</x:f>
      </x:c>
      <x:c r="T199" s="66"/>
      <x:c r="U199" s="66" t="str">
        <x:f>IF(C199="","",S199*T199)</x:f>
      </x:c>
    </x:row>
    <x:row r="200">
      <x:c r="A200" s="69" t="str"/>
      <x:c r="B200" s="69" t="str"/>
      <x:c r="C200" s="58" t="str"/>
      <x:c r="D200" s="58" t="str"/>
      <x:c r="E200" s="58" t="str"/>
      <x:c r="F200" s="70"/>
      <x:c r="G200" s="70"/>
      <x:c r="H200" s="71"/>
      <x:c r="I200" s="72"/>
      <x:c r="J200" s="72"/>
      <x:c r="K200" s="73" t="str">
        <x:f>IF(C200="","",F200*G200*H200*I200+J200)</x:f>
      </x:c>
      <x:c r="L200" s="73"/>
      <x:c r="M200" s="73"/>
      <x:c r="N200" s="73" t="str">
        <x:f>IF(C200="","",MAX(0,K200+M200-L200))</x:f>
      </x:c>
      <x:c r="O200" s="72"/>
      <x:c r="P200" s="60" t="str">
        <x:f>IF(C200="","",IF(N200=0,"정상",IF(N200&gt;O200*10,"MOQ 과잉 확인","정상")))</x:f>
      </x:c>
      <x:c r="Q200" s="58" t="str"/>
      <x:c r="R200" s="60" t="str">
        <x:f>IF(C200="","",IF(Q200="Y",IF(K200&gt;0,"정상","누락"),"정상"))</x:f>
      </x:c>
      <x:c r="S200" s="66" t="str">
        <x:f>IF(C200="","",IF(N200=0,0,ROUNDUP(N200/O200,0)*O200))</x:f>
      </x:c>
      <x:c r="T200" s="66"/>
      <x:c r="U200" s="66" t="str">
        <x:f>IF(C200="","",S200*T200)</x:f>
      </x:c>
    </x:row>
    <x:row r="201">
      <x:c r="A201" s="69" t="str"/>
      <x:c r="B201" s="69" t="str"/>
      <x:c r="C201" s="58" t="str"/>
      <x:c r="D201" s="58" t="str"/>
      <x:c r="E201" s="58" t="str"/>
      <x:c r="F201" s="70"/>
      <x:c r="G201" s="70"/>
      <x:c r="H201" s="71"/>
      <x:c r="I201" s="72"/>
      <x:c r="J201" s="72"/>
      <x:c r="K201" s="73" t="str">
        <x:f>IF(C201="","",F201*G201*H201*I201+J201)</x:f>
      </x:c>
      <x:c r="L201" s="73"/>
      <x:c r="M201" s="73"/>
      <x:c r="N201" s="73" t="str">
        <x:f>IF(C201="","",MAX(0,K201+M201-L201))</x:f>
      </x:c>
      <x:c r="O201" s="72"/>
      <x:c r="P201" s="60" t="str">
        <x:f>IF(C201="","",IF(N201=0,"정상",IF(N201&gt;O201*10,"MOQ 과잉 확인","정상")))</x:f>
      </x:c>
      <x:c r="Q201" s="58" t="str"/>
      <x:c r="R201" s="60" t="str">
        <x:f>IF(C201="","",IF(Q201="Y",IF(K201&gt;0,"정상","누락"),"정상"))</x:f>
      </x:c>
      <x:c r="S201" s="66" t="str">
        <x:f>IF(C201="","",IF(N201=0,0,ROUNDUP(N201/O201,0)*O201))</x:f>
      </x:c>
      <x:c r="T201" s="66"/>
      <x:c r="U201" s="66" t="str">
        <x:f>IF(C201="","",S201*T201)</x:f>
      </x:c>
    </x:row>
    <x:row r="202">
      <x:c r="A202" s="69" t="str"/>
      <x:c r="B202" s="69" t="str"/>
      <x:c r="C202" s="58" t="str"/>
      <x:c r="D202" s="58" t="str"/>
      <x:c r="E202" s="58" t="str"/>
      <x:c r="F202" s="70"/>
      <x:c r="G202" s="70"/>
      <x:c r="H202" s="71"/>
      <x:c r="I202" s="72"/>
      <x:c r="J202" s="72"/>
      <x:c r="K202" s="73" t="str">
        <x:f>IF(C202="","",F202*G202*H202*I202+J202)</x:f>
      </x:c>
      <x:c r="L202" s="73"/>
      <x:c r="M202" s="73"/>
      <x:c r="N202" s="73" t="str">
        <x:f>IF(C202="","",MAX(0,K202+M202-L202))</x:f>
      </x:c>
      <x:c r="O202" s="72"/>
      <x:c r="P202" s="60" t="str">
        <x:f>IF(C202="","",IF(N202=0,"정상",IF(N202&gt;O202*10,"MOQ 과잉 확인","정상")))</x:f>
      </x:c>
      <x:c r="Q202" s="58" t="str"/>
      <x:c r="R202" s="60" t="str">
        <x:f>IF(C202="","",IF(Q202="Y",IF(K202&gt;0,"정상","누락"),"정상"))</x:f>
      </x:c>
      <x:c r="S202" s="66" t="str">
        <x:f>IF(C202="","",IF(N202=0,0,ROUNDUP(N202/O202,0)*O202))</x:f>
      </x:c>
      <x:c r="T202" s="66"/>
      <x:c r="U202" s="66" t="str">
        <x:f>IF(C202="","",S202*T202)</x:f>
      </x:c>
    </x:row>
    <x:row r="203">
      <x:c r="A203" s="69" t="str"/>
      <x:c r="B203" s="69" t="str"/>
      <x:c r="C203" s="58" t="str"/>
      <x:c r="D203" s="58" t="str"/>
      <x:c r="E203" s="58" t="str"/>
      <x:c r="F203" s="70"/>
      <x:c r="G203" s="70"/>
      <x:c r="H203" s="71"/>
      <x:c r="I203" s="72"/>
      <x:c r="J203" s="72"/>
      <x:c r="K203" s="73" t="str">
        <x:f>IF(C203="","",F203*G203*H203*I203+J203)</x:f>
      </x:c>
      <x:c r="L203" s="73"/>
      <x:c r="M203" s="73"/>
      <x:c r="N203" s="73" t="str">
        <x:f>IF(C203="","",MAX(0,K203+M203-L203))</x:f>
      </x:c>
      <x:c r="O203" s="72"/>
      <x:c r="P203" s="60" t="str">
        <x:f>IF(C203="","",IF(N203=0,"정상",IF(N203&gt;O203*10,"MOQ 과잉 확인","정상")))</x:f>
      </x:c>
      <x:c r="Q203" s="58" t="str"/>
      <x:c r="R203" s="60" t="str">
        <x:f>IF(C203="","",IF(Q203="Y",IF(K203&gt;0,"정상","누락"),"정상"))</x:f>
      </x:c>
      <x:c r="S203" s="66" t="str">
        <x:f>IF(C203="","",IF(N203=0,0,ROUNDUP(N203/O203,0)*O203))</x:f>
      </x:c>
      <x:c r="T203" s="66"/>
      <x:c r="U203" s="66" t="str">
        <x:f>IF(C203="","",S203*T203)</x:f>
      </x:c>
    </x:row>
    <x:row r="204">
      <x:c r="A204" s="69" t="str"/>
      <x:c r="B204" s="69" t="str"/>
      <x:c r="C204" s="58" t="str"/>
      <x:c r="D204" s="58" t="str"/>
      <x:c r="E204" s="58" t="str"/>
      <x:c r="F204" s="70"/>
      <x:c r="G204" s="70"/>
      <x:c r="H204" s="71"/>
      <x:c r="I204" s="72"/>
      <x:c r="J204" s="72"/>
      <x:c r="K204" s="73" t="str">
        <x:f>IF(C204="","",F204*G204*H204*I204+J204)</x:f>
      </x:c>
      <x:c r="L204" s="73"/>
      <x:c r="M204" s="73"/>
      <x:c r="N204" s="73" t="str">
        <x:f>IF(C204="","",MAX(0,K204+M204-L204))</x:f>
      </x:c>
      <x:c r="O204" s="72"/>
      <x:c r="P204" s="60" t="str">
        <x:f>IF(C204="","",IF(N204=0,"정상",IF(N204&gt;O204*10,"MOQ 과잉 확인","정상")))</x:f>
      </x:c>
      <x:c r="Q204" s="58" t="str"/>
      <x:c r="R204" s="60" t="str">
        <x:f>IF(C204="","",IF(Q204="Y",IF(K204&gt;0,"정상","누락"),"정상"))</x:f>
      </x:c>
      <x:c r="S204" s="66" t="str">
        <x:f>IF(C204="","",IF(N204=0,0,ROUNDUP(N204/O204,0)*O204))</x:f>
      </x:c>
      <x:c r="T204" s="66"/>
      <x:c r="U204" s="66" t="str">
        <x:f>IF(C204="","",S204*T204)</x:f>
      </x:c>
    </x:row>
  </x:sheetData>
  <x:mergeCells>
    <x:mergeCell ref="A1:J1"/>
    <x:mergeCell ref="A2:J2"/>
  </x:mergeCells>
  <x:conditionalFormatting sqref="P5:P204">
    <x:cfRule type="containsText" dxfId="1" priority="1" operator="containsText" text="MOQ 과잉"/>
  </x:conditionalFormatting>
  <x:conditionalFormatting sqref="R5:R204">
    <x:cfRule type="containsText" dxfId="2" priority="2" operator="containsText" text="누락"/>
  </x:conditionalFormatting>
  <x:dataValidations count="1">
    <x:dataValidation type="list" sqref="Q5:Q204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03519f936044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24" hidden="0" customWidth="1"/>
    <x:col min="5" max="5" width="14" hidden="0" customWidth="1"/>
    <x:col min="6" max="6" width="12" hidden="0" customWidth="1"/>
    <x:col min="7" max="7" width="14" hidden="0" customWidth="1"/>
    <x:col min="8" max="8" width="36" hidden="0" customWidth="1"/>
    <x:col min="9" max="9" width="16" hidden="0" customWidth="1"/>
    <x:col min="10" max="10" width="16" hidden="0" customWidth="1"/>
  </x:cols>
  <x:sheetData>
    <x:row r="1" ht="28" customHeight="1">
      <x:c r="A1" s="52" t="str">
        <x:v>예외·조정·승인 이력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자동 계산 경고 또는 사람의 수량 조정은 반드시 사유·승인자·재시작 단계를 기록합니다.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발생월</x:v>
      </x:c>
      <x:c r="B4" s="55" t="str">
        <x:v>단계</x:v>
      </x:c>
      <x:c r="C4" s="55" t="str">
        <x:v>품목코드</x:v>
      </x:c>
      <x:c r="D4" s="55" t="str">
        <x:v>예외유형</x:v>
      </x:c>
      <x:c r="E4" s="55" t="str">
        <x:v>시스템 계산값</x:v>
      </x:c>
      <x:c r="F4" s="55" t="str">
        <x:v>조정값</x:v>
      </x:c>
      <x:c r="G4" s="55" t="str">
        <x:v>상태</x:v>
      </x:c>
      <x:c r="H4" s="55" t="str">
        <x:v>조치/사유</x:v>
      </x:c>
      <x:c r="I4" s="55" t="str">
        <x:v>담당자</x:v>
      </x:c>
      <x:c r="J4" s="55" t="str">
        <x:v>승인자</x:v>
      </x:c>
    </x:row>
    <x:row r="5">
      <x:c r="A5" s="58" t="str"/>
      <x:c r="B5" s="58" t="str"/>
      <x:c r="C5" s="58" t="str"/>
      <x:c r="D5" s="58" t="str"/>
      <x:c r="E5" s="58" t="str"/>
      <x:c r="F5" s="58"/>
      <x:c r="G5" s="58" t="str">
        <x:v>미등록</x:v>
      </x:c>
      <x:c r="H5" s="58" t="str"/>
      <x:c r="I5" s="58" t="str"/>
      <x:c r="J5" s="58" t="str"/>
    </x:row>
    <x:row r="6">
      <x:c r="A6" s="58" t="str"/>
      <x:c r="B6" s="58" t="str"/>
      <x:c r="C6" s="58" t="str"/>
      <x:c r="D6" s="58" t="str"/>
      <x:c r="E6" s="58" t="str"/>
      <x:c r="F6" s="58"/>
      <x:c r="G6" s="58" t="str">
        <x:v>미등록</x:v>
      </x:c>
      <x:c r="H6" s="58" t="str"/>
      <x:c r="I6" s="58" t="str"/>
      <x:c r="J6" s="58" t="str"/>
    </x:row>
    <x:row r="7">
      <x:c r="A7" s="58" t="str"/>
      <x:c r="B7" s="58" t="str"/>
      <x:c r="C7" s="58" t="str"/>
      <x:c r="D7" s="58" t="str"/>
      <x:c r="E7" s="58" t="str"/>
      <x:c r="F7" s="58"/>
      <x:c r="G7" s="58" t="str">
        <x:v>미등록</x:v>
      </x:c>
      <x:c r="H7" s="58" t="str"/>
      <x:c r="I7" s="58" t="str"/>
      <x:c r="J7" s="58" t="str"/>
    </x:row>
    <x:row r="8">
      <x:c r="A8" s="58" t="str"/>
      <x:c r="B8" s="58" t="str"/>
      <x:c r="C8" s="58" t="str"/>
      <x:c r="D8" s="58" t="str"/>
      <x:c r="E8" s="58" t="str"/>
      <x:c r="F8" s="58"/>
      <x:c r="G8" s="58" t="str">
        <x:v>미등록</x:v>
      </x:c>
      <x:c r="H8" s="58" t="str"/>
      <x:c r="I8" s="58" t="str"/>
      <x:c r="J8" s="58" t="str"/>
    </x:row>
    <x:row r="9">
      <x:c r="A9" s="58" t="str"/>
      <x:c r="B9" s="58" t="str"/>
      <x:c r="C9" s="58" t="str"/>
      <x:c r="D9" s="58" t="str"/>
      <x:c r="E9" s="58" t="str"/>
      <x:c r="F9" s="58"/>
      <x:c r="G9" s="58" t="str">
        <x:v>미등록</x:v>
      </x:c>
      <x:c r="H9" s="58" t="str"/>
      <x:c r="I9" s="58" t="str"/>
      <x:c r="J9" s="58" t="str"/>
    </x:row>
    <x:row r="10">
      <x:c r="A10" s="58" t="str"/>
      <x:c r="B10" s="58" t="str"/>
      <x:c r="C10" s="58" t="str"/>
      <x:c r="D10" s="58" t="str"/>
      <x:c r="E10" s="58" t="str"/>
      <x:c r="F10" s="58"/>
      <x:c r="G10" s="58" t="str">
        <x:v>미등록</x:v>
      </x:c>
      <x:c r="H10" s="58" t="str"/>
      <x:c r="I10" s="58" t="str"/>
      <x:c r="J10" s="58" t="str"/>
    </x:row>
    <x:row r="11">
      <x:c r="A11" s="58" t="str"/>
      <x:c r="B11" s="58" t="str"/>
      <x:c r="C11" s="58" t="str"/>
      <x:c r="D11" s="58" t="str"/>
      <x:c r="E11" s="58" t="str"/>
      <x:c r="F11" s="58"/>
      <x:c r="G11" s="58" t="str">
        <x:v>미등록</x:v>
      </x:c>
      <x:c r="H11" s="58" t="str"/>
      <x:c r="I11" s="58" t="str"/>
      <x:c r="J11" s="58" t="str"/>
    </x:row>
    <x:row r="12">
      <x:c r="A12" s="58" t="str"/>
      <x:c r="B12" s="58" t="str"/>
      <x:c r="C12" s="58" t="str"/>
      <x:c r="D12" s="58" t="str"/>
      <x:c r="E12" s="58" t="str"/>
      <x:c r="F12" s="58"/>
      <x:c r="G12" s="58" t="str">
        <x:v>미등록</x:v>
      </x:c>
      <x:c r="H12" s="58" t="str"/>
      <x:c r="I12" s="58" t="str"/>
      <x:c r="J12" s="58" t="str"/>
    </x:row>
    <x:row r="13">
      <x:c r="A13" s="58" t="str"/>
      <x:c r="B13" s="58" t="str"/>
      <x:c r="C13" s="58" t="str"/>
      <x:c r="D13" s="58" t="str"/>
      <x:c r="E13" s="58" t="str"/>
      <x:c r="F13" s="58"/>
      <x:c r="G13" s="58" t="str">
        <x:v>미등록</x:v>
      </x:c>
      <x:c r="H13" s="58" t="str"/>
      <x:c r="I13" s="58" t="str"/>
      <x:c r="J13" s="58" t="str"/>
    </x:row>
    <x:row r="14">
      <x:c r="A14" s="58" t="str"/>
      <x:c r="B14" s="58" t="str"/>
      <x:c r="C14" s="58" t="str"/>
      <x:c r="D14" s="58" t="str"/>
      <x:c r="E14" s="58" t="str"/>
      <x:c r="F14" s="58"/>
      <x:c r="G14" s="58" t="str">
        <x:v>미등록</x:v>
      </x:c>
      <x:c r="H14" s="58" t="str"/>
      <x:c r="I14" s="58" t="str"/>
      <x:c r="J14" s="58" t="str"/>
    </x:row>
    <x:row r="15">
      <x:c r="A15" s="58" t="str"/>
      <x:c r="B15" s="58" t="str"/>
      <x:c r="C15" s="58" t="str"/>
      <x:c r="D15" s="58" t="str"/>
      <x:c r="E15" s="58" t="str"/>
      <x:c r="F15" s="58"/>
      <x:c r="G15" s="58" t="str">
        <x:v>미등록</x:v>
      </x:c>
      <x:c r="H15" s="58" t="str"/>
      <x:c r="I15" s="58" t="str"/>
      <x:c r="J15" s="58" t="str"/>
    </x:row>
    <x:row r="16">
      <x:c r="A16" s="58" t="str"/>
      <x:c r="B16" s="58" t="str"/>
      <x:c r="C16" s="58" t="str"/>
      <x:c r="D16" s="58" t="str"/>
      <x:c r="E16" s="58" t="str"/>
      <x:c r="F16" s="58"/>
      <x:c r="G16" s="58" t="str">
        <x:v>미등록</x:v>
      </x:c>
      <x:c r="H16" s="58" t="str"/>
      <x:c r="I16" s="58" t="str"/>
      <x:c r="J16" s="58" t="str"/>
    </x:row>
    <x:row r="17">
      <x:c r="A17" s="58" t="str"/>
      <x:c r="B17" s="58" t="str"/>
      <x:c r="C17" s="58" t="str"/>
      <x:c r="D17" s="58" t="str"/>
      <x:c r="E17" s="58" t="str"/>
      <x:c r="F17" s="58"/>
      <x:c r="G17" s="58" t="str">
        <x:v>미등록</x:v>
      </x:c>
      <x:c r="H17" s="58" t="str"/>
      <x:c r="I17" s="58" t="str"/>
      <x:c r="J17" s="58" t="str"/>
    </x:row>
    <x:row r="18">
      <x:c r="A18" s="58" t="str"/>
      <x:c r="B18" s="58" t="str"/>
      <x:c r="C18" s="58" t="str"/>
      <x:c r="D18" s="58" t="str"/>
      <x:c r="E18" s="58" t="str"/>
      <x:c r="F18" s="58"/>
      <x:c r="G18" s="58" t="str">
        <x:v>미등록</x:v>
      </x:c>
      <x:c r="H18" s="58" t="str"/>
      <x:c r="I18" s="58" t="str"/>
      <x:c r="J18" s="58" t="str"/>
    </x:row>
    <x:row r="19">
      <x:c r="A19" s="58" t="str"/>
      <x:c r="B19" s="58" t="str"/>
      <x:c r="C19" s="58" t="str"/>
      <x:c r="D19" s="58" t="str"/>
      <x:c r="E19" s="58" t="str"/>
      <x:c r="F19" s="58"/>
      <x:c r="G19" s="58" t="str">
        <x:v>미등록</x:v>
      </x:c>
      <x:c r="H19" s="58" t="str"/>
      <x:c r="I19" s="58" t="str"/>
      <x:c r="J19" s="58" t="str"/>
    </x:row>
    <x:row r="20">
      <x:c r="A20" s="58" t="str"/>
      <x:c r="B20" s="58" t="str"/>
      <x:c r="C20" s="58" t="str"/>
      <x:c r="D20" s="58" t="str"/>
      <x:c r="E20" s="58" t="str"/>
      <x:c r="F20" s="58"/>
      <x:c r="G20" s="58" t="str">
        <x:v>미등록</x:v>
      </x:c>
      <x:c r="H20" s="58" t="str"/>
      <x:c r="I20" s="58" t="str"/>
      <x:c r="J20" s="58" t="str"/>
    </x:row>
    <x:row r="21">
      <x:c r="A21" s="58" t="str"/>
      <x:c r="B21" s="58" t="str"/>
      <x:c r="C21" s="58" t="str"/>
      <x:c r="D21" s="58" t="str"/>
      <x:c r="E21" s="58" t="str"/>
      <x:c r="F21" s="58"/>
      <x:c r="G21" s="58" t="str">
        <x:v>미등록</x:v>
      </x:c>
      <x:c r="H21" s="58" t="str"/>
      <x:c r="I21" s="58" t="str"/>
      <x:c r="J21" s="58" t="str"/>
    </x:row>
    <x:row r="22">
      <x:c r="A22" s="58" t="str"/>
      <x:c r="B22" s="58" t="str"/>
      <x:c r="C22" s="58" t="str"/>
      <x:c r="D22" s="58" t="str"/>
      <x:c r="E22" s="58" t="str"/>
      <x:c r="F22" s="58"/>
      <x:c r="G22" s="58" t="str">
        <x:v>미등록</x:v>
      </x:c>
      <x:c r="H22" s="58" t="str"/>
      <x:c r="I22" s="58" t="str"/>
      <x:c r="J22" s="58" t="str"/>
    </x:row>
    <x:row r="23">
      <x:c r="A23" s="58" t="str"/>
      <x:c r="B23" s="58" t="str"/>
      <x:c r="C23" s="58" t="str"/>
      <x:c r="D23" s="58" t="str"/>
      <x:c r="E23" s="58" t="str"/>
      <x:c r="F23" s="58"/>
      <x:c r="G23" s="58" t="str">
        <x:v>미등록</x:v>
      </x:c>
      <x:c r="H23" s="58" t="str"/>
      <x:c r="I23" s="58" t="str"/>
      <x:c r="J23" s="58" t="str"/>
    </x:row>
    <x:row r="24">
      <x:c r="A24" s="58" t="str"/>
      <x:c r="B24" s="58" t="str"/>
      <x:c r="C24" s="58" t="str"/>
      <x:c r="D24" s="58" t="str"/>
      <x:c r="E24" s="58" t="str"/>
      <x:c r="F24" s="58"/>
      <x:c r="G24" s="58" t="str">
        <x:v>미등록</x:v>
      </x:c>
      <x:c r="H24" s="58" t="str"/>
      <x:c r="I24" s="58" t="str"/>
      <x:c r="J24" s="58" t="str"/>
    </x:row>
    <x:row r="25">
      <x:c r="A25" s="58" t="str"/>
      <x:c r="B25" s="58" t="str"/>
      <x:c r="C25" s="58" t="str"/>
      <x:c r="D25" s="58" t="str"/>
      <x:c r="E25" s="58" t="str"/>
      <x:c r="F25" s="58"/>
      <x:c r="G25" s="58" t="str">
        <x:v>미등록</x:v>
      </x:c>
      <x:c r="H25" s="58" t="str"/>
      <x:c r="I25" s="58" t="str"/>
      <x:c r="J25" s="58" t="str"/>
    </x:row>
    <x:row r="26">
      <x:c r="A26" s="58" t="str"/>
      <x:c r="B26" s="58" t="str"/>
      <x:c r="C26" s="58" t="str"/>
      <x:c r="D26" s="58" t="str"/>
      <x:c r="E26" s="58" t="str"/>
      <x:c r="F26" s="58"/>
      <x:c r="G26" s="58" t="str">
        <x:v>미등록</x:v>
      </x:c>
      <x:c r="H26" s="58" t="str"/>
      <x:c r="I26" s="58" t="str"/>
      <x:c r="J26" s="58" t="str"/>
    </x:row>
    <x:row r="27">
      <x:c r="A27" s="58" t="str"/>
      <x:c r="B27" s="58" t="str"/>
      <x:c r="C27" s="58" t="str"/>
      <x:c r="D27" s="58" t="str"/>
      <x:c r="E27" s="58" t="str"/>
      <x:c r="F27" s="58"/>
      <x:c r="G27" s="58" t="str">
        <x:v>미등록</x:v>
      </x:c>
      <x:c r="H27" s="58" t="str"/>
      <x:c r="I27" s="58" t="str"/>
      <x:c r="J27" s="58" t="str"/>
    </x:row>
    <x:row r="28">
      <x:c r="A28" s="58" t="str"/>
      <x:c r="B28" s="58" t="str"/>
      <x:c r="C28" s="58" t="str"/>
      <x:c r="D28" s="58" t="str"/>
      <x:c r="E28" s="58" t="str"/>
      <x:c r="F28" s="58"/>
      <x:c r="G28" s="58" t="str">
        <x:v>미등록</x:v>
      </x:c>
      <x:c r="H28" s="58" t="str"/>
      <x:c r="I28" s="58" t="str"/>
      <x:c r="J28" s="58" t="str"/>
    </x:row>
    <x:row r="29">
      <x:c r="A29" s="58" t="str"/>
      <x:c r="B29" s="58" t="str"/>
      <x:c r="C29" s="58" t="str"/>
      <x:c r="D29" s="58" t="str"/>
      <x:c r="E29" s="58" t="str"/>
      <x:c r="F29" s="58"/>
      <x:c r="G29" s="58" t="str">
        <x:v>미등록</x:v>
      </x:c>
      <x:c r="H29" s="58" t="str"/>
      <x:c r="I29" s="58" t="str"/>
      <x:c r="J29" s="58" t="str"/>
    </x:row>
    <x:row r="30">
      <x:c r="A30" s="58" t="str"/>
      <x:c r="B30" s="58" t="str"/>
      <x:c r="C30" s="58" t="str"/>
      <x:c r="D30" s="58" t="str"/>
      <x:c r="E30" s="58" t="str"/>
      <x:c r="F30" s="58"/>
      <x:c r="G30" s="58" t="str">
        <x:v>미등록</x:v>
      </x:c>
      <x:c r="H30" s="58" t="str"/>
      <x:c r="I30" s="58" t="str"/>
      <x:c r="J30" s="58" t="str"/>
    </x:row>
    <x:row r="31">
      <x:c r="A31" s="58" t="str"/>
      <x:c r="B31" s="58" t="str"/>
      <x:c r="C31" s="58" t="str"/>
      <x:c r="D31" s="58" t="str"/>
      <x:c r="E31" s="58" t="str"/>
      <x:c r="F31" s="58"/>
      <x:c r="G31" s="58" t="str">
        <x:v>미등록</x:v>
      </x:c>
      <x:c r="H31" s="58" t="str"/>
      <x:c r="I31" s="58" t="str"/>
      <x:c r="J31" s="58" t="str"/>
    </x:row>
    <x:row r="32">
      <x:c r="A32" s="58" t="str"/>
      <x:c r="B32" s="58" t="str"/>
      <x:c r="C32" s="58" t="str"/>
      <x:c r="D32" s="58" t="str"/>
      <x:c r="E32" s="58" t="str"/>
      <x:c r="F32" s="58"/>
      <x:c r="G32" s="58" t="str">
        <x:v>미등록</x:v>
      </x:c>
      <x:c r="H32" s="58" t="str"/>
      <x:c r="I32" s="58" t="str"/>
      <x:c r="J32" s="58" t="str"/>
    </x:row>
    <x:row r="33">
      <x:c r="A33" s="58" t="str"/>
      <x:c r="B33" s="58" t="str"/>
      <x:c r="C33" s="58" t="str"/>
      <x:c r="D33" s="58" t="str"/>
      <x:c r="E33" s="58" t="str"/>
      <x:c r="F33" s="58"/>
      <x:c r="G33" s="58" t="str">
        <x:v>미등록</x:v>
      </x:c>
      <x:c r="H33" s="58" t="str"/>
      <x:c r="I33" s="58" t="str"/>
      <x:c r="J33" s="58" t="str"/>
    </x:row>
    <x:row r="34">
      <x:c r="A34" s="58" t="str"/>
      <x:c r="B34" s="58" t="str"/>
      <x:c r="C34" s="58" t="str"/>
      <x:c r="D34" s="58" t="str"/>
      <x:c r="E34" s="58" t="str"/>
      <x:c r="F34" s="58"/>
      <x:c r="G34" s="58" t="str">
        <x:v>미등록</x:v>
      </x:c>
      <x:c r="H34" s="58" t="str"/>
      <x:c r="I34" s="58" t="str"/>
      <x:c r="J34" s="58" t="str"/>
    </x:row>
    <x:row r="35">
      <x:c r="A35" s="58" t="str"/>
      <x:c r="B35" s="58" t="str"/>
      <x:c r="C35" s="58" t="str"/>
      <x:c r="D35" s="58" t="str"/>
      <x:c r="E35" s="58" t="str"/>
      <x:c r="F35" s="58"/>
      <x:c r="G35" s="58" t="str">
        <x:v>미등록</x:v>
      </x:c>
      <x:c r="H35" s="58" t="str"/>
      <x:c r="I35" s="58" t="str"/>
      <x:c r="J35" s="58" t="str"/>
    </x:row>
    <x:row r="36">
      <x:c r="A36" s="58" t="str"/>
      <x:c r="B36" s="58" t="str"/>
      <x:c r="C36" s="58" t="str"/>
      <x:c r="D36" s="58" t="str"/>
      <x:c r="E36" s="58" t="str"/>
      <x:c r="F36" s="58"/>
      <x:c r="G36" s="58" t="str">
        <x:v>미등록</x:v>
      </x:c>
      <x:c r="H36" s="58" t="str"/>
      <x:c r="I36" s="58" t="str"/>
      <x:c r="J36" s="58" t="str"/>
    </x:row>
    <x:row r="37">
      <x:c r="A37" s="58" t="str"/>
      <x:c r="B37" s="58" t="str"/>
      <x:c r="C37" s="58" t="str"/>
      <x:c r="D37" s="58" t="str"/>
      <x:c r="E37" s="58" t="str"/>
      <x:c r="F37" s="58"/>
      <x:c r="G37" s="58" t="str">
        <x:v>미등록</x:v>
      </x:c>
      <x:c r="H37" s="58" t="str"/>
      <x:c r="I37" s="58" t="str"/>
      <x:c r="J37" s="58" t="str"/>
    </x:row>
    <x:row r="38">
      <x:c r="A38" s="58" t="str"/>
      <x:c r="B38" s="58" t="str"/>
      <x:c r="C38" s="58" t="str"/>
      <x:c r="D38" s="58" t="str"/>
      <x:c r="E38" s="58" t="str"/>
      <x:c r="F38" s="58"/>
      <x:c r="G38" s="58" t="str">
        <x:v>미등록</x:v>
      </x:c>
      <x:c r="H38" s="58" t="str"/>
      <x:c r="I38" s="58" t="str"/>
      <x:c r="J38" s="58" t="str"/>
    </x:row>
    <x:row r="39">
      <x:c r="A39" s="58" t="str"/>
      <x:c r="B39" s="58" t="str"/>
      <x:c r="C39" s="58" t="str"/>
      <x:c r="D39" s="58" t="str"/>
      <x:c r="E39" s="58" t="str"/>
      <x:c r="F39" s="58"/>
      <x:c r="G39" s="58" t="str">
        <x:v>미등록</x:v>
      </x:c>
      <x:c r="H39" s="58" t="str"/>
      <x:c r="I39" s="58" t="str"/>
      <x:c r="J39" s="58" t="str"/>
    </x:row>
    <x:row r="40">
      <x:c r="A40" s="58" t="str"/>
      <x:c r="B40" s="58" t="str"/>
      <x:c r="C40" s="58" t="str"/>
      <x:c r="D40" s="58" t="str"/>
      <x:c r="E40" s="58" t="str"/>
      <x:c r="F40" s="58"/>
      <x:c r="G40" s="58" t="str">
        <x:v>미등록</x:v>
      </x:c>
      <x:c r="H40" s="58" t="str"/>
      <x:c r="I40" s="58" t="str"/>
      <x:c r="J40" s="58" t="str"/>
    </x:row>
    <x:row r="41">
      <x:c r="A41" s="58" t="str"/>
      <x:c r="B41" s="58" t="str"/>
      <x:c r="C41" s="58" t="str"/>
      <x:c r="D41" s="58" t="str"/>
      <x:c r="E41" s="58" t="str"/>
      <x:c r="F41" s="58"/>
      <x:c r="G41" s="58" t="str">
        <x:v>미등록</x:v>
      </x:c>
      <x:c r="H41" s="58" t="str"/>
      <x:c r="I41" s="58" t="str"/>
      <x:c r="J41" s="58" t="str"/>
    </x:row>
    <x:row r="42">
      <x:c r="A42" s="58" t="str"/>
      <x:c r="B42" s="58" t="str"/>
      <x:c r="C42" s="58" t="str"/>
      <x:c r="D42" s="58" t="str"/>
      <x:c r="E42" s="58" t="str"/>
      <x:c r="F42" s="58"/>
      <x:c r="G42" s="58" t="str">
        <x:v>미등록</x:v>
      </x:c>
      <x:c r="H42" s="58" t="str"/>
      <x:c r="I42" s="58" t="str"/>
      <x:c r="J42" s="58" t="str"/>
    </x:row>
    <x:row r="43">
      <x:c r="A43" s="58" t="str"/>
      <x:c r="B43" s="58" t="str"/>
      <x:c r="C43" s="58" t="str"/>
      <x:c r="D43" s="58" t="str"/>
      <x:c r="E43" s="58" t="str"/>
      <x:c r="F43" s="58"/>
      <x:c r="G43" s="58" t="str">
        <x:v>미등록</x:v>
      </x:c>
      <x:c r="H43" s="58" t="str"/>
      <x:c r="I43" s="58" t="str"/>
      <x:c r="J43" s="58" t="str"/>
    </x:row>
    <x:row r="44">
      <x:c r="A44" s="58" t="str"/>
      <x:c r="B44" s="58" t="str"/>
      <x:c r="C44" s="58" t="str"/>
      <x:c r="D44" s="58" t="str"/>
      <x:c r="E44" s="58" t="str"/>
      <x:c r="F44" s="58"/>
      <x:c r="G44" s="58" t="str">
        <x:v>미등록</x:v>
      </x:c>
      <x:c r="H44" s="58" t="str"/>
      <x:c r="I44" s="58" t="str"/>
      <x:c r="J44" s="58" t="str"/>
    </x:row>
    <x:row r="45">
      <x:c r="A45" s="58" t="str"/>
      <x:c r="B45" s="58" t="str"/>
      <x:c r="C45" s="58" t="str"/>
      <x:c r="D45" s="58" t="str"/>
      <x:c r="E45" s="58" t="str"/>
      <x:c r="F45" s="58"/>
      <x:c r="G45" s="58" t="str">
        <x:v>미등록</x:v>
      </x:c>
      <x:c r="H45" s="58" t="str"/>
      <x:c r="I45" s="58" t="str"/>
      <x:c r="J45" s="58" t="str"/>
    </x:row>
    <x:row r="46">
      <x:c r="A46" s="58" t="str"/>
      <x:c r="B46" s="58" t="str"/>
      <x:c r="C46" s="58" t="str"/>
      <x:c r="D46" s="58" t="str"/>
      <x:c r="E46" s="58" t="str"/>
      <x:c r="F46" s="58"/>
      <x:c r="G46" s="58" t="str">
        <x:v>미등록</x:v>
      </x:c>
      <x:c r="H46" s="58" t="str"/>
      <x:c r="I46" s="58" t="str"/>
      <x:c r="J46" s="58" t="str"/>
    </x:row>
    <x:row r="47">
      <x:c r="A47" s="58" t="str"/>
      <x:c r="B47" s="58" t="str"/>
      <x:c r="C47" s="58" t="str"/>
      <x:c r="D47" s="58" t="str"/>
      <x:c r="E47" s="58" t="str"/>
      <x:c r="F47" s="58"/>
      <x:c r="G47" s="58" t="str">
        <x:v>미등록</x:v>
      </x:c>
      <x:c r="H47" s="58" t="str"/>
      <x:c r="I47" s="58" t="str"/>
      <x:c r="J47" s="58" t="str"/>
    </x:row>
    <x:row r="48">
      <x:c r="A48" s="58" t="str"/>
      <x:c r="B48" s="58" t="str"/>
      <x:c r="C48" s="58" t="str"/>
      <x:c r="D48" s="58" t="str"/>
      <x:c r="E48" s="58" t="str"/>
      <x:c r="F48" s="58"/>
      <x:c r="G48" s="58" t="str">
        <x:v>미등록</x:v>
      </x:c>
      <x:c r="H48" s="58" t="str"/>
      <x:c r="I48" s="58" t="str"/>
      <x:c r="J48" s="58" t="str"/>
    </x:row>
    <x:row r="49">
      <x:c r="A49" s="58" t="str"/>
      <x:c r="B49" s="58" t="str"/>
      <x:c r="C49" s="58" t="str"/>
      <x:c r="D49" s="58" t="str"/>
      <x:c r="E49" s="58" t="str"/>
      <x:c r="F49" s="58"/>
      <x:c r="G49" s="58" t="str">
        <x:v>미등록</x:v>
      </x:c>
      <x:c r="H49" s="58" t="str"/>
      <x:c r="I49" s="58" t="str"/>
      <x:c r="J49" s="58" t="str"/>
    </x:row>
    <x:row r="50">
      <x:c r="A50" s="58" t="str"/>
      <x:c r="B50" s="58" t="str"/>
      <x:c r="C50" s="58" t="str"/>
      <x:c r="D50" s="58" t="str"/>
      <x:c r="E50" s="58" t="str"/>
      <x:c r="F50" s="58"/>
      <x:c r="G50" s="58" t="str">
        <x:v>미등록</x:v>
      </x:c>
      <x:c r="H50" s="58" t="str"/>
      <x:c r="I50" s="58" t="str"/>
      <x:c r="J50" s="58" t="str"/>
    </x:row>
    <x:row r="51">
      <x:c r="A51" s="58" t="str"/>
      <x:c r="B51" s="58" t="str"/>
      <x:c r="C51" s="58" t="str"/>
      <x:c r="D51" s="58" t="str"/>
      <x:c r="E51" s="58" t="str"/>
      <x:c r="F51" s="58"/>
      <x:c r="G51" s="58" t="str">
        <x:v>미등록</x:v>
      </x:c>
      <x:c r="H51" s="58" t="str"/>
      <x:c r="I51" s="58" t="str"/>
      <x:c r="J51" s="58" t="str"/>
    </x:row>
    <x:row r="52">
      <x:c r="A52" s="58" t="str"/>
      <x:c r="B52" s="58" t="str"/>
      <x:c r="C52" s="58" t="str"/>
      <x:c r="D52" s="58" t="str"/>
      <x:c r="E52" s="58" t="str"/>
      <x:c r="F52" s="58"/>
      <x:c r="G52" s="58" t="str">
        <x:v>미등록</x:v>
      </x:c>
      <x:c r="H52" s="58" t="str"/>
      <x:c r="I52" s="58" t="str"/>
      <x:c r="J52" s="58" t="str"/>
    </x:row>
    <x:row r="53">
      <x:c r="A53" s="58" t="str"/>
      <x:c r="B53" s="58" t="str"/>
      <x:c r="C53" s="58" t="str"/>
      <x:c r="D53" s="58" t="str"/>
      <x:c r="E53" s="58" t="str"/>
      <x:c r="F53" s="58"/>
      <x:c r="G53" s="58" t="str">
        <x:v>미등록</x:v>
      </x:c>
      <x:c r="H53" s="58" t="str"/>
      <x:c r="I53" s="58" t="str"/>
      <x:c r="J53" s="58" t="str"/>
    </x:row>
    <x:row r="54">
      <x:c r="A54" s="58" t="str"/>
      <x:c r="B54" s="58" t="str"/>
      <x:c r="C54" s="58" t="str"/>
      <x:c r="D54" s="58" t="str"/>
      <x:c r="E54" s="58" t="str"/>
      <x:c r="F54" s="58"/>
      <x:c r="G54" s="58" t="str">
        <x:v>미등록</x:v>
      </x:c>
      <x:c r="H54" s="58" t="str"/>
      <x:c r="I54" s="58" t="str"/>
      <x:c r="J54" s="58" t="str"/>
    </x:row>
    <x:row r="55">
      <x:c r="A55" s="58" t="str"/>
      <x:c r="B55" s="58" t="str"/>
      <x:c r="C55" s="58" t="str"/>
      <x:c r="D55" s="58" t="str"/>
      <x:c r="E55" s="58" t="str"/>
      <x:c r="F55" s="58"/>
      <x:c r="G55" s="58" t="str">
        <x:v>미등록</x:v>
      </x:c>
      <x:c r="H55" s="58" t="str"/>
      <x:c r="I55" s="58" t="str"/>
      <x:c r="J55" s="58" t="str"/>
    </x:row>
    <x:row r="56">
      <x:c r="A56" s="58" t="str"/>
      <x:c r="B56" s="58" t="str"/>
      <x:c r="C56" s="58" t="str"/>
      <x:c r="D56" s="58" t="str"/>
      <x:c r="E56" s="58" t="str"/>
      <x:c r="F56" s="58"/>
      <x:c r="G56" s="58" t="str">
        <x:v>미등록</x:v>
      </x:c>
      <x:c r="H56" s="58" t="str"/>
      <x:c r="I56" s="58" t="str"/>
      <x:c r="J56" s="58" t="str"/>
    </x:row>
    <x:row r="57">
      <x:c r="A57" s="58" t="str"/>
      <x:c r="B57" s="58" t="str"/>
      <x:c r="C57" s="58" t="str"/>
      <x:c r="D57" s="58" t="str"/>
      <x:c r="E57" s="58" t="str"/>
      <x:c r="F57" s="58"/>
      <x:c r="G57" s="58" t="str">
        <x:v>미등록</x:v>
      </x:c>
      <x:c r="H57" s="58" t="str"/>
      <x:c r="I57" s="58" t="str"/>
      <x:c r="J57" s="58" t="str"/>
    </x:row>
    <x:row r="58">
      <x:c r="A58" s="58" t="str"/>
      <x:c r="B58" s="58" t="str"/>
      <x:c r="C58" s="58" t="str"/>
      <x:c r="D58" s="58" t="str"/>
      <x:c r="E58" s="58" t="str"/>
      <x:c r="F58" s="58"/>
      <x:c r="G58" s="58" t="str">
        <x:v>미등록</x:v>
      </x:c>
      <x:c r="H58" s="58" t="str"/>
      <x:c r="I58" s="58" t="str"/>
      <x:c r="J58" s="58" t="str"/>
    </x:row>
    <x:row r="59">
      <x:c r="A59" s="58" t="str"/>
      <x:c r="B59" s="58" t="str"/>
      <x:c r="C59" s="58" t="str"/>
      <x:c r="D59" s="58" t="str"/>
      <x:c r="E59" s="58" t="str"/>
      <x:c r="F59" s="58"/>
      <x:c r="G59" s="58" t="str">
        <x:v>미등록</x:v>
      </x:c>
      <x:c r="H59" s="58" t="str"/>
      <x:c r="I59" s="58" t="str"/>
      <x:c r="J59" s="58" t="str"/>
    </x:row>
    <x:row r="60">
      <x:c r="A60" s="58" t="str"/>
      <x:c r="B60" s="58" t="str"/>
      <x:c r="C60" s="58" t="str"/>
      <x:c r="D60" s="58" t="str"/>
      <x:c r="E60" s="58" t="str"/>
      <x:c r="F60" s="58"/>
      <x:c r="G60" s="58" t="str">
        <x:v>미등록</x:v>
      </x:c>
      <x:c r="H60" s="58" t="str"/>
      <x:c r="I60" s="58" t="str"/>
      <x:c r="J60" s="58" t="str"/>
    </x:row>
    <x:row r="61">
      <x:c r="A61" s="58" t="str"/>
      <x:c r="B61" s="58" t="str"/>
      <x:c r="C61" s="58" t="str"/>
      <x:c r="D61" s="58" t="str"/>
      <x:c r="E61" s="58" t="str"/>
      <x:c r="F61" s="58"/>
      <x:c r="G61" s="58" t="str">
        <x:v>미등록</x:v>
      </x:c>
      <x:c r="H61" s="58" t="str"/>
      <x:c r="I61" s="58" t="str"/>
      <x:c r="J61" s="58" t="str"/>
    </x:row>
    <x:row r="62">
      <x:c r="A62" s="58" t="str"/>
      <x:c r="B62" s="58" t="str"/>
      <x:c r="C62" s="58" t="str"/>
      <x:c r="D62" s="58" t="str"/>
      <x:c r="E62" s="58" t="str"/>
      <x:c r="F62" s="58"/>
      <x:c r="G62" s="58" t="str">
        <x:v>미등록</x:v>
      </x:c>
      <x:c r="H62" s="58" t="str"/>
      <x:c r="I62" s="58" t="str"/>
      <x:c r="J62" s="58" t="str"/>
    </x:row>
    <x:row r="63">
      <x:c r="A63" s="58" t="str"/>
      <x:c r="B63" s="58" t="str"/>
      <x:c r="C63" s="58" t="str"/>
      <x:c r="D63" s="58" t="str"/>
      <x:c r="E63" s="58" t="str"/>
      <x:c r="F63" s="58"/>
      <x:c r="G63" s="58" t="str">
        <x:v>미등록</x:v>
      </x:c>
      <x:c r="H63" s="58" t="str"/>
      <x:c r="I63" s="58" t="str"/>
      <x:c r="J63" s="58" t="str"/>
    </x:row>
    <x:row r="64">
      <x:c r="A64" s="58" t="str"/>
      <x:c r="B64" s="58" t="str"/>
      <x:c r="C64" s="58" t="str"/>
      <x:c r="D64" s="58" t="str"/>
      <x:c r="E64" s="58" t="str"/>
      <x:c r="F64" s="58"/>
      <x:c r="G64" s="58" t="str">
        <x:v>미등록</x:v>
      </x:c>
      <x:c r="H64" s="58" t="str"/>
      <x:c r="I64" s="58" t="str"/>
      <x:c r="J64" s="58" t="str"/>
    </x:row>
    <x:row r="65">
      <x:c r="A65" s="58" t="str"/>
      <x:c r="B65" s="58" t="str"/>
      <x:c r="C65" s="58" t="str"/>
      <x:c r="D65" s="58" t="str"/>
      <x:c r="E65" s="58" t="str"/>
      <x:c r="F65" s="58"/>
      <x:c r="G65" s="58" t="str">
        <x:v>미등록</x:v>
      </x:c>
      <x:c r="H65" s="58" t="str"/>
      <x:c r="I65" s="58" t="str"/>
      <x:c r="J65" s="58" t="str"/>
    </x:row>
    <x:row r="66">
      <x:c r="A66" s="58" t="str"/>
      <x:c r="B66" s="58" t="str"/>
      <x:c r="C66" s="58" t="str"/>
      <x:c r="D66" s="58" t="str"/>
      <x:c r="E66" s="58" t="str"/>
      <x:c r="F66" s="58"/>
      <x:c r="G66" s="58" t="str">
        <x:v>미등록</x:v>
      </x:c>
      <x:c r="H66" s="58" t="str"/>
      <x:c r="I66" s="58" t="str"/>
      <x:c r="J66" s="58" t="str"/>
    </x:row>
    <x:row r="67">
      <x:c r="A67" s="58" t="str"/>
      <x:c r="B67" s="58" t="str"/>
      <x:c r="C67" s="58" t="str"/>
      <x:c r="D67" s="58" t="str"/>
      <x:c r="E67" s="58" t="str"/>
      <x:c r="F67" s="58"/>
      <x:c r="G67" s="58" t="str">
        <x:v>미등록</x:v>
      </x:c>
      <x:c r="H67" s="58" t="str"/>
      <x:c r="I67" s="58" t="str"/>
      <x:c r="J67" s="58" t="str"/>
    </x:row>
    <x:row r="68">
      <x:c r="A68" s="58" t="str"/>
      <x:c r="B68" s="58" t="str"/>
      <x:c r="C68" s="58" t="str"/>
      <x:c r="D68" s="58" t="str"/>
      <x:c r="E68" s="58" t="str"/>
      <x:c r="F68" s="58"/>
      <x:c r="G68" s="58" t="str">
        <x:v>미등록</x:v>
      </x:c>
      <x:c r="H68" s="58" t="str"/>
      <x:c r="I68" s="58" t="str"/>
      <x:c r="J68" s="58" t="str"/>
    </x:row>
    <x:row r="69">
      <x:c r="A69" s="58" t="str"/>
      <x:c r="B69" s="58" t="str"/>
      <x:c r="C69" s="58" t="str"/>
      <x:c r="D69" s="58" t="str"/>
      <x:c r="E69" s="58" t="str"/>
      <x:c r="F69" s="58"/>
      <x:c r="G69" s="58" t="str">
        <x:v>미등록</x:v>
      </x:c>
      <x:c r="H69" s="58" t="str"/>
      <x:c r="I69" s="58" t="str"/>
      <x:c r="J69" s="58" t="str"/>
    </x:row>
    <x:row r="70">
      <x:c r="A70" s="58" t="str"/>
      <x:c r="B70" s="58" t="str"/>
      <x:c r="C70" s="58" t="str"/>
      <x:c r="D70" s="58" t="str"/>
      <x:c r="E70" s="58" t="str"/>
      <x:c r="F70" s="58"/>
      <x:c r="G70" s="58" t="str">
        <x:v>미등록</x:v>
      </x:c>
      <x:c r="H70" s="58" t="str"/>
      <x:c r="I70" s="58" t="str"/>
      <x:c r="J70" s="58" t="str"/>
    </x:row>
    <x:row r="71">
      <x:c r="A71" s="58" t="str"/>
      <x:c r="B71" s="58" t="str"/>
      <x:c r="C71" s="58" t="str"/>
      <x:c r="D71" s="58" t="str"/>
      <x:c r="E71" s="58" t="str"/>
      <x:c r="F71" s="58"/>
      <x:c r="G71" s="58" t="str">
        <x:v>미등록</x:v>
      </x:c>
      <x:c r="H71" s="58" t="str"/>
      <x:c r="I71" s="58" t="str"/>
      <x:c r="J71" s="58" t="str"/>
    </x:row>
    <x:row r="72">
      <x:c r="A72" s="58" t="str"/>
      <x:c r="B72" s="58" t="str"/>
      <x:c r="C72" s="58" t="str"/>
      <x:c r="D72" s="58" t="str"/>
      <x:c r="E72" s="58" t="str"/>
      <x:c r="F72" s="58"/>
      <x:c r="G72" s="58" t="str">
        <x:v>미등록</x:v>
      </x:c>
      <x:c r="H72" s="58" t="str"/>
      <x:c r="I72" s="58" t="str"/>
      <x:c r="J72" s="58" t="str"/>
    </x:row>
    <x:row r="73">
      <x:c r="A73" s="58" t="str"/>
      <x:c r="B73" s="58" t="str"/>
      <x:c r="C73" s="58" t="str"/>
      <x:c r="D73" s="58" t="str"/>
      <x:c r="E73" s="58" t="str"/>
      <x:c r="F73" s="58"/>
      <x:c r="G73" s="58" t="str">
        <x:v>미등록</x:v>
      </x:c>
      <x:c r="H73" s="58" t="str"/>
      <x:c r="I73" s="58" t="str"/>
      <x:c r="J73" s="58" t="str"/>
    </x:row>
    <x:row r="74">
      <x:c r="A74" s="58" t="str"/>
      <x:c r="B74" s="58" t="str"/>
      <x:c r="C74" s="58" t="str"/>
      <x:c r="D74" s="58" t="str"/>
      <x:c r="E74" s="58" t="str"/>
      <x:c r="F74" s="58"/>
      <x:c r="G74" s="58" t="str">
        <x:v>미등록</x:v>
      </x:c>
      <x:c r="H74" s="58" t="str"/>
      <x:c r="I74" s="58" t="str"/>
      <x:c r="J74" s="58" t="str"/>
    </x:row>
    <x:row r="75">
      <x:c r="A75" s="58" t="str"/>
      <x:c r="B75" s="58" t="str"/>
      <x:c r="C75" s="58" t="str"/>
      <x:c r="D75" s="58" t="str"/>
      <x:c r="E75" s="58" t="str"/>
      <x:c r="F75" s="58"/>
      <x:c r="G75" s="58" t="str">
        <x:v>미등록</x:v>
      </x:c>
      <x:c r="H75" s="58" t="str"/>
      <x:c r="I75" s="58" t="str"/>
      <x:c r="J75" s="58" t="str"/>
    </x:row>
    <x:row r="76">
      <x:c r="A76" s="58" t="str"/>
      <x:c r="B76" s="58" t="str"/>
      <x:c r="C76" s="58" t="str"/>
      <x:c r="D76" s="58" t="str"/>
      <x:c r="E76" s="58" t="str"/>
      <x:c r="F76" s="58"/>
      <x:c r="G76" s="58" t="str">
        <x:v>미등록</x:v>
      </x:c>
      <x:c r="H76" s="58" t="str"/>
      <x:c r="I76" s="58" t="str"/>
      <x:c r="J76" s="58" t="str"/>
    </x:row>
    <x:row r="77">
      <x:c r="A77" s="58" t="str"/>
      <x:c r="B77" s="58" t="str"/>
      <x:c r="C77" s="58" t="str"/>
      <x:c r="D77" s="58" t="str"/>
      <x:c r="E77" s="58" t="str"/>
      <x:c r="F77" s="58"/>
      <x:c r="G77" s="58" t="str">
        <x:v>미등록</x:v>
      </x:c>
      <x:c r="H77" s="58" t="str"/>
      <x:c r="I77" s="58" t="str"/>
      <x:c r="J77" s="58" t="str"/>
    </x:row>
    <x:row r="78">
      <x:c r="A78" s="58" t="str"/>
      <x:c r="B78" s="58" t="str"/>
      <x:c r="C78" s="58" t="str"/>
      <x:c r="D78" s="58" t="str"/>
      <x:c r="E78" s="58" t="str"/>
      <x:c r="F78" s="58"/>
      <x:c r="G78" s="58" t="str">
        <x:v>미등록</x:v>
      </x:c>
      <x:c r="H78" s="58" t="str"/>
      <x:c r="I78" s="58" t="str"/>
      <x:c r="J78" s="58" t="str"/>
    </x:row>
    <x:row r="79">
      <x:c r="A79" s="58" t="str"/>
      <x:c r="B79" s="58" t="str"/>
      <x:c r="C79" s="58" t="str"/>
      <x:c r="D79" s="58" t="str"/>
      <x:c r="E79" s="58" t="str"/>
      <x:c r="F79" s="58"/>
      <x:c r="G79" s="58" t="str">
        <x:v>미등록</x:v>
      </x:c>
      <x:c r="H79" s="58" t="str"/>
      <x:c r="I79" s="58" t="str"/>
      <x:c r="J79" s="58" t="str"/>
    </x:row>
    <x:row r="80">
      <x:c r="A80" s="58" t="str"/>
      <x:c r="B80" s="58" t="str"/>
      <x:c r="C80" s="58" t="str"/>
      <x:c r="D80" s="58" t="str"/>
      <x:c r="E80" s="58" t="str"/>
      <x:c r="F80" s="58"/>
      <x:c r="G80" s="58" t="str">
        <x:v>미등록</x:v>
      </x:c>
      <x:c r="H80" s="58" t="str"/>
      <x:c r="I80" s="58" t="str"/>
      <x:c r="J80" s="58" t="str"/>
    </x:row>
    <x:row r="81">
      <x:c r="A81" s="58" t="str"/>
      <x:c r="B81" s="58" t="str"/>
      <x:c r="C81" s="58" t="str"/>
      <x:c r="D81" s="58" t="str"/>
      <x:c r="E81" s="58" t="str"/>
      <x:c r="F81" s="58"/>
      <x:c r="G81" s="58" t="str">
        <x:v>미등록</x:v>
      </x:c>
      <x:c r="H81" s="58" t="str"/>
      <x:c r="I81" s="58" t="str"/>
      <x:c r="J81" s="58" t="str"/>
    </x:row>
    <x:row r="82">
      <x:c r="A82" s="58" t="str"/>
      <x:c r="B82" s="58" t="str"/>
      <x:c r="C82" s="58" t="str"/>
      <x:c r="D82" s="58" t="str"/>
      <x:c r="E82" s="58" t="str"/>
      <x:c r="F82" s="58"/>
      <x:c r="G82" s="58" t="str">
        <x:v>미등록</x:v>
      </x:c>
      <x:c r="H82" s="58" t="str"/>
      <x:c r="I82" s="58" t="str"/>
      <x:c r="J82" s="58" t="str"/>
    </x:row>
    <x:row r="83">
      <x:c r="A83" s="58" t="str"/>
      <x:c r="B83" s="58" t="str"/>
      <x:c r="C83" s="58" t="str"/>
      <x:c r="D83" s="58" t="str"/>
      <x:c r="E83" s="58" t="str"/>
      <x:c r="F83" s="58"/>
      <x:c r="G83" s="58" t="str">
        <x:v>미등록</x:v>
      </x:c>
      <x:c r="H83" s="58" t="str"/>
      <x:c r="I83" s="58" t="str"/>
      <x:c r="J83" s="58" t="str"/>
    </x:row>
    <x:row r="84">
      <x:c r="A84" s="58" t="str"/>
      <x:c r="B84" s="58" t="str"/>
      <x:c r="C84" s="58" t="str"/>
      <x:c r="D84" s="58" t="str"/>
      <x:c r="E84" s="58" t="str"/>
      <x:c r="F84" s="58"/>
      <x:c r="G84" s="58" t="str">
        <x:v>미등록</x:v>
      </x:c>
      <x:c r="H84" s="58" t="str"/>
      <x:c r="I84" s="58" t="str"/>
      <x:c r="J84" s="58" t="str"/>
    </x:row>
    <x:row r="85">
      <x:c r="A85" s="58" t="str"/>
      <x:c r="B85" s="58" t="str"/>
      <x:c r="C85" s="58" t="str"/>
      <x:c r="D85" s="58" t="str"/>
      <x:c r="E85" s="58" t="str"/>
      <x:c r="F85" s="58"/>
      <x:c r="G85" s="58" t="str">
        <x:v>미등록</x:v>
      </x:c>
      <x:c r="H85" s="58" t="str"/>
      <x:c r="I85" s="58" t="str"/>
      <x:c r="J85" s="58" t="str"/>
    </x:row>
    <x:row r="86">
      <x:c r="A86" s="58" t="str"/>
      <x:c r="B86" s="58" t="str"/>
      <x:c r="C86" s="58" t="str"/>
      <x:c r="D86" s="58" t="str"/>
      <x:c r="E86" s="58" t="str"/>
      <x:c r="F86" s="58"/>
      <x:c r="G86" s="58" t="str">
        <x:v>미등록</x:v>
      </x:c>
      <x:c r="H86" s="58" t="str"/>
      <x:c r="I86" s="58" t="str"/>
      <x:c r="J86" s="58" t="str"/>
    </x:row>
    <x:row r="87">
      <x:c r="A87" s="58" t="str"/>
      <x:c r="B87" s="58" t="str"/>
      <x:c r="C87" s="58" t="str"/>
      <x:c r="D87" s="58" t="str"/>
      <x:c r="E87" s="58" t="str"/>
      <x:c r="F87" s="58"/>
      <x:c r="G87" s="58" t="str">
        <x:v>미등록</x:v>
      </x:c>
      <x:c r="H87" s="58" t="str"/>
      <x:c r="I87" s="58" t="str"/>
      <x:c r="J87" s="58" t="str"/>
    </x:row>
    <x:row r="88">
      <x:c r="A88" s="58" t="str"/>
      <x:c r="B88" s="58" t="str"/>
      <x:c r="C88" s="58" t="str"/>
      <x:c r="D88" s="58" t="str"/>
      <x:c r="E88" s="58" t="str"/>
      <x:c r="F88" s="58"/>
      <x:c r="G88" s="58" t="str">
        <x:v>미등록</x:v>
      </x:c>
      <x:c r="H88" s="58" t="str"/>
      <x:c r="I88" s="58" t="str"/>
      <x:c r="J88" s="58" t="str"/>
    </x:row>
    <x:row r="89">
      <x:c r="A89" s="58" t="str"/>
      <x:c r="B89" s="58" t="str"/>
      <x:c r="C89" s="58" t="str"/>
      <x:c r="D89" s="58" t="str"/>
      <x:c r="E89" s="58" t="str"/>
      <x:c r="F89" s="58"/>
      <x:c r="G89" s="58" t="str">
        <x:v>미등록</x:v>
      </x:c>
      <x:c r="H89" s="58" t="str"/>
      <x:c r="I89" s="58" t="str"/>
      <x:c r="J89" s="58" t="str"/>
    </x:row>
    <x:row r="90">
      <x:c r="A90" s="58" t="str"/>
      <x:c r="B90" s="58" t="str"/>
      <x:c r="C90" s="58" t="str"/>
      <x:c r="D90" s="58" t="str"/>
      <x:c r="E90" s="58" t="str"/>
      <x:c r="F90" s="58"/>
      <x:c r="G90" s="58" t="str">
        <x:v>미등록</x:v>
      </x:c>
      <x:c r="H90" s="58" t="str"/>
      <x:c r="I90" s="58" t="str"/>
      <x:c r="J90" s="58" t="str"/>
    </x:row>
    <x:row r="91">
      <x:c r="A91" s="58" t="str"/>
      <x:c r="B91" s="58" t="str"/>
      <x:c r="C91" s="58" t="str"/>
      <x:c r="D91" s="58" t="str"/>
      <x:c r="E91" s="58" t="str"/>
      <x:c r="F91" s="58"/>
      <x:c r="G91" s="58" t="str">
        <x:v>미등록</x:v>
      </x:c>
      <x:c r="H91" s="58" t="str"/>
      <x:c r="I91" s="58" t="str"/>
      <x:c r="J91" s="58" t="str"/>
    </x:row>
    <x:row r="92">
      <x:c r="A92" s="58" t="str"/>
      <x:c r="B92" s="58" t="str"/>
      <x:c r="C92" s="58" t="str"/>
      <x:c r="D92" s="58" t="str"/>
      <x:c r="E92" s="58" t="str"/>
      <x:c r="F92" s="58"/>
      <x:c r="G92" s="58" t="str">
        <x:v>미등록</x:v>
      </x:c>
      <x:c r="H92" s="58" t="str"/>
      <x:c r="I92" s="58" t="str"/>
      <x:c r="J92" s="58" t="str"/>
    </x:row>
    <x:row r="93">
      <x:c r="A93" s="58" t="str"/>
      <x:c r="B93" s="58" t="str"/>
      <x:c r="C93" s="58" t="str"/>
      <x:c r="D93" s="58" t="str"/>
      <x:c r="E93" s="58" t="str"/>
      <x:c r="F93" s="58"/>
      <x:c r="G93" s="58" t="str">
        <x:v>미등록</x:v>
      </x:c>
      <x:c r="H93" s="58" t="str"/>
      <x:c r="I93" s="58" t="str"/>
      <x:c r="J93" s="58" t="str"/>
    </x:row>
    <x:row r="94">
      <x:c r="A94" s="58" t="str"/>
      <x:c r="B94" s="58" t="str"/>
      <x:c r="C94" s="58" t="str"/>
      <x:c r="D94" s="58" t="str"/>
      <x:c r="E94" s="58" t="str"/>
      <x:c r="F94" s="58"/>
      <x:c r="G94" s="58" t="str">
        <x:v>미등록</x:v>
      </x:c>
      <x:c r="H94" s="58" t="str"/>
      <x:c r="I94" s="58" t="str"/>
      <x:c r="J94" s="58" t="str"/>
    </x:row>
    <x:row r="95">
      <x:c r="A95" s="58" t="str"/>
      <x:c r="B95" s="58" t="str"/>
      <x:c r="C95" s="58" t="str"/>
      <x:c r="D95" s="58" t="str"/>
      <x:c r="E95" s="58" t="str"/>
      <x:c r="F95" s="58"/>
      <x:c r="G95" s="58" t="str">
        <x:v>미등록</x:v>
      </x:c>
      <x:c r="H95" s="58" t="str"/>
      <x:c r="I95" s="58" t="str"/>
      <x:c r="J95" s="58" t="str"/>
    </x:row>
    <x:row r="96">
      <x:c r="A96" s="58" t="str"/>
      <x:c r="B96" s="58" t="str"/>
      <x:c r="C96" s="58" t="str"/>
      <x:c r="D96" s="58" t="str"/>
      <x:c r="E96" s="58" t="str"/>
      <x:c r="F96" s="58"/>
      <x:c r="G96" s="58" t="str">
        <x:v>미등록</x:v>
      </x:c>
      <x:c r="H96" s="58" t="str"/>
      <x:c r="I96" s="58" t="str"/>
      <x:c r="J96" s="58" t="str"/>
    </x:row>
    <x:row r="97">
      <x:c r="A97" s="58" t="str"/>
      <x:c r="B97" s="58" t="str"/>
      <x:c r="C97" s="58" t="str"/>
      <x:c r="D97" s="58" t="str"/>
      <x:c r="E97" s="58" t="str"/>
      <x:c r="F97" s="58"/>
      <x:c r="G97" s="58" t="str">
        <x:v>미등록</x:v>
      </x:c>
      <x:c r="H97" s="58" t="str"/>
      <x:c r="I97" s="58" t="str"/>
      <x:c r="J97" s="58" t="str"/>
    </x:row>
    <x:row r="98">
      <x:c r="A98" s="58" t="str"/>
      <x:c r="B98" s="58" t="str"/>
      <x:c r="C98" s="58" t="str"/>
      <x:c r="D98" s="58" t="str"/>
      <x:c r="E98" s="58" t="str"/>
      <x:c r="F98" s="58"/>
      <x:c r="G98" s="58" t="str">
        <x:v>미등록</x:v>
      </x:c>
      <x:c r="H98" s="58" t="str"/>
      <x:c r="I98" s="58" t="str"/>
      <x:c r="J98" s="58" t="str"/>
    </x:row>
    <x:row r="99">
      <x:c r="A99" s="58" t="str"/>
      <x:c r="B99" s="58" t="str"/>
      <x:c r="C99" s="58" t="str"/>
      <x:c r="D99" s="58" t="str"/>
      <x:c r="E99" s="58" t="str"/>
      <x:c r="F99" s="58"/>
      <x:c r="G99" s="58" t="str">
        <x:v>미등록</x:v>
      </x:c>
      <x:c r="H99" s="58" t="str"/>
      <x:c r="I99" s="58" t="str"/>
      <x:c r="J99" s="58" t="str"/>
    </x:row>
    <x:row r="100">
      <x:c r="A100" s="58" t="str"/>
      <x:c r="B100" s="58" t="str"/>
      <x:c r="C100" s="58" t="str"/>
      <x:c r="D100" s="58" t="str"/>
      <x:c r="E100" s="58" t="str"/>
      <x:c r="F100" s="58"/>
      <x:c r="G100" s="58" t="str">
        <x:v>미등록</x:v>
      </x:c>
      <x:c r="H100" s="58" t="str"/>
      <x:c r="I100" s="58" t="str"/>
      <x:c r="J100" s="58" t="str"/>
    </x:row>
    <x:row r="101">
      <x:c r="A101" s="58" t="str"/>
      <x:c r="B101" s="58" t="str"/>
      <x:c r="C101" s="58" t="str"/>
      <x:c r="D101" s="58" t="str"/>
      <x:c r="E101" s="58" t="str"/>
      <x:c r="F101" s="58"/>
      <x:c r="G101" s="58" t="str">
        <x:v>미등록</x:v>
      </x:c>
      <x:c r="H101" s="58" t="str"/>
      <x:c r="I101" s="58" t="str"/>
      <x:c r="J101" s="58" t="str"/>
    </x:row>
    <x:row r="102">
      <x:c r="A102" s="58" t="str"/>
      <x:c r="B102" s="58" t="str"/>
      <x:c r="C102" s="58" t="str"/>
      <x:c r="D102" s="58" t="str"/>
      <x:c r="E102" s="58" t="str"/>
      <x:c r="F102" s="58"/>
      <x:c r="G102" s="58" t="str">
        <x:v>미등록</x:v>
      </x:c>
      <x:c r="H102" s="58" t="str"/>
      <x:c r="I102" s="58" t="str"/>
      <x:c r="J102" s="58" t="str"/>
    </x:row>
    <x:row r="103">
      <x:c r="A103" s="58" t="str"/>
      <x:c r="B103" s="58" t="str"/>
      <x:c r="C103" s="58" t="str"/>
      <x:c r="D103" s="58" t="str"/>
      <x:c r="E103" s="58" t="str"/>
      <x:c r="F103" s="58"/>
      <x:c r="G103" s="58" t="str">
        <x:v>미등록</x:v>
      </x:c>
      <x:c r="H103" s="58" t="str"/>
      <x:c r="I103" s="58" t="str"/>
      <x:c r="J103" s="58" t="str"/>
    </x:row>
    <x:row r="104">
      <x:c r="A104" s="58" t="str"/>
      <x:c r="B104" s="58" t="str"/>
      <x:c r="C104" s="58" t="str"/>
      <x:c r="D104" s="58" t="str"/>
      <x:c r="E104" s="58" t="str"/>
      <x:c r="F104" s="58"/>
      <x:c r="G104" s="58" t="str">
        <x:v>미등록</x:v>
      </x:c>
      <x:c r="H104" s="58" t="str"/>
      <x:c r="I104" s="58" t="str"/>
      <x:c r="J104" s="58" t="str"/>
    </x:row>
    <x:row r="105">
      <x:c r="A105" s="58" t="str"/>
      <x:c r="B105" s="58" t="str"/>
      <x:c r="C105" s="58" t="str"/>
      <x:c r="D105" s="58" t="str"/>
      <x:c r="E105" s="58" t="str"/>
      <x:c r="F105" s="58"/>
      <x:c r="G105" s="58" t="str">
        <x:v>미등록</x:v>
      </x:c>
      <x:c r="H105" s="58" t="str"/>
      <x:c r="I105" s="58" t="str"/>
      <x:c r="J105" s="58" t="str"/>
    </x:row>
    <x:row r="106">
      <x:c r="A106" s="58" t="str"/>
      <x:c r="B106" s="58" t="str"/>
      <x:c r="C106" s="58" t="str"/>
      <x:c r="D106" s="58" t="str"/>
      <x:c r="E106" s="58" t="str"/>
      <x:c r="F106" s="58"/>
      <x:c r="G106" s="58" t="str">
        <x:v>미등록</x:v>
      </x:c>
      <x:c r="H106" s="58" t="str"/>
      <x:c r="I106" s="58" t="str"/>
      <x:c r="J106" s="58" t="str"/>
    </x:row>
    <x:row r="107">
      <x:c r="A107" s="58" t="str"/>
      <x:c r="B107" s="58" t="str"/>
      <x:c r="C107" s="58" t="str"/>
      <x:c r="D107" s="58" t="str"/>
      <x:c r="E107" s="58" t="str"/>
      <x:c r="F107" s="58"/>
      <x:c r="G107" s="58" t="str">
        <x:v>미등록</x:v>
      </x:c>
      <x:c r="H107" s="58" t="str"/>
      <x:c r="I107" s="58" t="str"/>
      <x:c r="J107" s="58" t="str"/>
    </x:row>
    <x:row r="108">
      <x:c r="A108" s="58" t="str"/>
      <x:c r="B108" s="58" t="str"/>
      <x:c r="C108" s="58" t="str"/>
      <x:c r="D108" s="58" t="str"/>
      <x:c r="E108" s="58" t="str"/>
      <x:c r="F108" s="58"/>
      <x:c r="G108" s="58" t="str">
        <x:v>미등록</x:v>
      </x:c>
      <x:c r="H108" s="58" t="str"/>
      <x:c r="I108" s="58" t="str"/>
      <x:c r="J108" s="58" t="str"/>
    </x:row>
    <x:row r="109">
      <x:c r="A109" s="58" t="str"/>
      <x:c r="B109" s="58" t="str"/>
      <x:c r="C109" s="58" t="str"/>
      <x:c r="D109" s="58" t="str"/>
      <x:c r="E109" s="58" t="str"/>
      <x:c r="F109" s="58"/>
      <x:c r="G109" s="58" t="str">
        <x:v>미등록</x:v>
      </x:c>
      <x:c r="H109" s="58" t="str"/>
      <x:c r="I109" s="58" t="str"/>
      <x:c r="J109" s="58" t="str"/>
    </x:row>
    <x:row r="110">
      <x:c r="A110" s="58" t="str"/>
      <x:c r="B110" s="58" t="str"/>
      <x:c r="C110" s="58" t="str"/>
      <x:c r="D110" s="58" t="str"/>
      <x:c r="E110" s="58" t="str"/>
      <x:c r="F110" s="58"/>
      <x:c r="G110" s="58" t="str">
        <x:v>미등록</x:v>
      </x:c>
      <x:c r="H110" s="58" t="str"/>
      <x:c r="I110" s="58" t="str"/>
      <x:c r="J110" s="58" t="str"/>
    </x:row>
    <x:row r="111">
      <x:c r="A111" s="58" t="str"/>
      <x:c r="B111" s="58" t="str"/>
      <x:c r="C111" s="58" t="str"/>
      <x:c r="D111" s="58" t="str"/>
      <x:c r="E111" s="58" t="str"/>
      <x:c r="F111" s="58"/>
      <x:c r="G111" s="58" t="str">
        <x:v>미등록</x:v>
      </x:c>
      <x:c r="H111" s="58" t="str"/>
      <x:c r="I111" s="58" t="str"/>
      <x:c r="J111" s="58" t="str"/>
    </x:row>
    <x:row r="112">
      <x:c r="A112" s="58" t="str"/>
      <x:c r="B112" s="58" t="str"/>
      <x:c r="C112" s="58" t="str"/>
      <x:c r="D112" s="58" t="str"/>
      <x:c r="E112" s="58" t="str"/>
      <x:c r="F112" s="58"/>
      <x:c r="G112" s="58" t="str">
        <x:v>미등록</x:v>
      </x:c>
      <x:c r="H112" s="58" t="str"/>
      <x:c r="I112" s="58" t="str"/>
      <x:c r="J112" s="58" t="str"/>
    </x:row>
    <x:row r="113">
      <x:c r="A113" s="58" t="str"/>
      <x:c r="B113" s="58" t="str"/>
      <x:c r="C113" s="58" t="str"/>
      <x:c r="D113" s="58" t="str"/>
      <x:c r="E113" s="58" t="str"/>
      <x:c r="F113" s="58"/>
      <x:c r="G113" s="58" t="str">
        <x:v>미등록</x:v>
      </x:c>
      <x:c r="H113" s="58" t="str"/>
      <x:c r="I113" s="58" t="str"/>
      <x:c r="J113" s="58" t="str"/>
    </x:row>
    <x:row r="114">
      <x:c r="A114" s="58" t="str"/>
      <x:c r="B114" s="58" t="str"/>
      <x:c r="C114" s="58" t="str"/>
      <x:c r="D114" s="58" t="str"/>
      <x:c r="E114" s="58" t="str"/>
      <x:c r="F114" s="58"/>
      <x:c r="G114" s="58" t="str">
        <x:v>미등록</x:v>
      </x:c>
      <x:c r="H114" s="58" t="str"/>
      <x:c r="I114" s="58" t="str"/>
      <x:c r="J114" s="58" t="str"/>
    </x:row>
    <x:row r="115">
      <x:c r="A115" s="58" t="str"/>
      <x:c r="B115" s="58" t="str"/>
      <x:c r="C115" s="58" t="str"/>
      <x:c r="D115" s="58" t="str"/>
      <x:c r="E115" s="58" t="str"/>
      <x:c r="F115" s="58"/>
      <x:c r="G115" s="58" t="str">
        <x:v>미등록</x:v>
      </x:c>
      <x:c r="H115" s="58" t="str"/>
      <x:c r="I115" s="58" t="str"/>
      <x:c r="J115" s="58" t="str"/>
    </x:row>
    <x:row r="116">
      <x:c r="A116" s="58" t="str"/>
      <x:c r="B116" s="58" t="str"/>
      <x:c r="C116" s="58" t="str"/>
      <x:c r="D116" s="58" t="str"/>
      <x:c r="E116" s="58" t="str"/>
      <x:c r="F116" s="58"/>
      <x:c r="G116" s="58" t="str">
        <x:v>미등록</x:v>
      </x:c>
      <x:c r="H116" s="58" t="str"/>
      <x:c r="I116" s="58" t="str"/>
      <x:c r="J116" s="58" t="str"/>
    </x:row>
    <x:row r="117">
      <x:c r="A117" s="58" t="str"/>
      <x:c r="B117" s="58" t="str"/>
      <x:c r="C117" s="58" t="str"/>
      <x:c r="D117" s="58" t="str"/>
      <x:c r="E117" s="58" t="str"/>
      <x:c r="F117" s="58"/>
      <x:c r="G117" s="58" t="str">
        <x:v>미등록</x:v>
      </x:c>
      <x:c r="H117" s="58" t="str"/>
      <x:c r="I117" s="58" t="str"/>
      <x:c r="J117" s="58" t="str"/>
    </x:row>
    <x:row r="118">
      <x:c r="A118" s="58" t="str"/>
      <x:c r="B118" s="58" t="str"/>
      <x:c r="C118" s="58" t="str"/>
      <x:c r="D118" s="58" t="str"/>
      <x:c r="E118" s="58" t="str"/>
      <x:c r="F118" s="58"/>
      <x:c r="G118" s="58" t="str">
        <x:v>미등록</x:v>
      </x:c>
      <x:c r="H118" s="58" t="str"/>
      <x:c r="I118" s="58" t="str"/>
      <x:c r="J118" s="58" t="str"/>
    </x:row>
    <x:row r="119">
      <x:c r="A119" s="58" t="str"/>
      <x:c r="B119" s="58" t="str"/>
      <x:c r="C119" s="58" t="str"/>
      <x:c r="D119" s="58" t="str"/>
      <x:c r="E119" s="58" t="str"/>
      <x:c r="F119" s="58"/>
      <x:c r="G119" s="58" t="str">
        <x:v>미등록</x:v>
      </x:c>
      <x:c r="H119" s="58" t="str"/>
      <x:c r="I119" s="58" t="str"/>
      <x:c r="J119" s="58" t="str"/>
    </x:row>
    <x:row r="120">
      <x:c r="A120" s="58" t="str"/>
      <x:c r="B120" s="58" t="str"/>
      <x:c r="C120" s="58" t="str"/>
      <x:c r="D120" s="58" t="str"/>
      <x:c r="E120" s="58" t="str"/>
      <x:c r="F120" s="58"/>
      <x:c r="G120" s="58" t="str">
        <x:v>미등록</x:v>
      </x:c>
      <x:c r="H120" s="58" t="str"/>
      <x:c r="I120" s="58" t="str"/>
      <x:c r="J120" s="58" t="str"/>
    </x:row>
    <x:row r="121">
      <x:c r="A121" s="58" t="str"/>
      <x:c r="B121" s="58" t="str"/>
      <x:c r="C121" s="58" t="str"/>
      <x:c r="D121" s="58" t="str"/>
      <x:c r="E121" s="58" t="str"/>
      <x:c r="F121" s="58"/>
      <x:c r="G121" s="58" t="str">
        <x:v>미등록</x:v>
      </x:c>
      <x:c r="H121" s="58" t="str"/>
      <x:c r="I121" s="58" t="str"/>
      <x:c r="J121" s="58" t="str"/>
    </x:row>
    <x:row r="122">
      <x:c r="A122" s="58" t="str"/>
      <x:c r="B122" s="58" t="str"/>
      <x:c r="C122" s="58" t="str"/>
      <x:c r="D122" s="58" t="str"/>
      <x:c r="E122" s="58" t="str"/>
      <x:c r="F122" s="58"/>
      <x:c r="G122" s="58" t="str">
        <x:v>미등록</x:v>
      </x:c>
      <x:c r="H122" s="58" t="str"/>
      <x:c r="I122" s="58" t="str"/>
      <x:c r="J122" s="58" t="str"/>
    </x:row>
    <x:row r="123">
      <x:c r="A123" s="58" t="str"/>
      <x:c r="B123" s="58" t="str"/>
      <x:c r="C123" s="58" t="str"/>
      <x:c r="D123" s="58" t="str"/>
      <x:c r="E123" s="58" t="str"/>
      <x:c r="F123" s="58"/>
      <x:c r="G123" s="58" t="str">
        <x:v>미등록</x:v>
      </x:c>
      <x:c r="H123" s="58" t="str"/>
      <x:c r="I123" s="58" t="str"/>
      <x:c r="J123" s="58" t="str"/>
    </x:row>
    <x:row r="124">
      <x:c r="A124" s="58" t="str"/>
      <x:c r="B124" s="58" t="str"/>
      <x:c r="C124" s="58" t="str"/>
      <x:c r="D124" s="58" t="str"/>
      <x:c r="E124" s="58" t="str"/>
      <x:c r="F124" s="58"/>
      <x:c r="G124" s="58" t="str">
        <x:v>미등록</x:v>
      </x:c>
      <x:c r="H124" s="58" t="str"/>
      <x:c r="I124" s="58" t="str"/>
      <x:c r="J124" s="58" t="str"/>
    </x:row>
    <x:row r="125">
      <x:c r="A125" s="58" t="str"/>
      <x:c r="B125" s="58" t="str"/>
      <x:c r="C125" s="58" t="str"/>
      <x:c r="D125" s="58" t="str"/>
      <x:c r="E125" s="58" t="str"/>
      <x:c r="F125" s="58"/>
      <x:c r="G125" s="58" t="str">
        <x:v>미등록</x:v>
      </x:c>
      <x:c r="H125" s="58" t="str"/>
      <x:c r="I125" s="58" t="str"/>
      <x:c r="J125" s="58" t="str"/>
    </x:row>
    <x:row r="126">
      <x:c r="A126" s="58" t="str"/>
      <x:c r="B126" s="58" t="str"/>
      <x:c r="C126" s="58" t="str"/>
      <x:c r="D126" s="58" t="str"/>
      <x:c r="E126" s="58" t="str"/>
      <x:c r="F126" s="58"/>
      <x:c r="G126" s="58" t="str">
        <x:v>미등록</x:v>
      </x:c>
      <x:c r="H126" s="58" t="str"/>
      <x:c r="I126" s="58" t="str"/>
      <x:c r="J126" s="58" t="str"/>
    </x:row>
    <x:row r="127">
      <x:c r="A127" s="58" t="str"/>
      <x:c r="B127" s="58" t="str"/>
      <x:c r="C127" s="58" t="str"/>
      <x:c r="D127" s="58" t="str"/>
      <x:c r="E127" s="58" t="str"/>
      <x:c r="F127" s="58"/>
      <x:c r="G127" s="58" t="str">
        <x:v>미등록</x:v>
      </x:c>
      <x:c r="H127" s="58" t="str"/>
      <x:c r="I127" s="58" t="str"/>
      <x:c r="J127" s="58" t="str"/>
    </x:row>
    <x:row r="128">
      <x:c r="A128" s="58" t="str"/>
      <x:c r="B128" s="58" t="str"/>
      <x:c r="C128" s="58" t="str"/>
      <x:c r="D128" s="58" t="str"/>
      <x:c r="E128" s="58" t="str"/>
      <x:c r="F128" s="58"/>
      <x:c r="G128" s="58" t="str">
        <x:v>미등록</x:v>
      </x:c>
      <x:c r="H128" s="58" t="str"/>
      <x:c r="I128" s="58" t="str"/>
      <x:c r="J128" s="58" t="str"/>
    </x:row>
    <x:row r="129">
      <x:c r="A129" s="58" t="str"/>
      <x:c r="B129" s="58" t="str"/>
      <x:c r="C129" s="58" t="str"/>
      <x:c r="D129" s="58" t="str"/>
      <x:c r="E129" s="58" t="str"/>
      <x:c r="F129" s="58"/>
      <x:c r="G129" s="58" t="str">
        <x:v>미등록</x:v>
      </x:c>
      <x:c r="H129" s="58" t="str"/>
      <x:c r="I129" s="58" t="str"/>
      <x:c r="J129" s="58" t="str"/>
    </x:row>
    <x:row r="130">
      <x:c r="A130" s="58" t="str"/>
      <x:c r="B130" s="58" t="str"/>
      <x:c r="C130" s="58" t="str"/>
      <x:c r="D130" s="58" t="str"/>
      <x:c r="E130" s="58" t="str"/>
      <x:c r="F130" s="58"/>
      <x:c r="G130" s="58" t="str">
        <x:v>미등록</x:v>
      </x:c>
      <x:c r="H130" s="58" t="str"/>
      <x:c r="I130" s="58" t="str"/>
      <x:c r="J130" s="58" t="str"/>
    </x:row>
    <x:row r="131">
      <x:c r="A131" s="58" t="str"/>
      <x:c r="B131" s="58" t="str"/>
      <x:c r="C131" s="58" t="str"/>
      <x:c r="D131" s="58" t="str"/>
      <x:c r="E131" s="58" t="str"/>
      <x:c r="F131" s="58"/>
      <x:c r="G131" s="58" t="str">
        <x:v>미등록</x:v>
      </x:c>
      <x:c r="H131" s="58" t="str"/>
      <x:c r="I131" s="58" t="str"/>
      <x:c r="J131" s="58" t="str"/>
    </x:row>
    <x:row r="132">
      <x:c r="A132" s="58" t="str"/>
      <x:c r="B132" s="58" t="str"/>
      <x:c r="C132" s="58" t="str"/>
      <x:c r="D132" s="58" t="str"/>
      <x:c r="E132" s="58" t="str"/>
      <x:c r="F132" s="58"/>
      <x:c r="G132" s="58" t="str">
        <x:v>미등록</x:v>
      </x:c>
      <x:c r="H132" s="58" t="str"/>
      <x:c r="I132" s="58" t="str"/>
      <x:c r="J132" s="58" t="str"/>
    </x:row>
    <x:row r="133">
      <x:c r="A133" s="58" t="str"/>
      <x:c r="B133" s="58" t="str"/>
      <x:c r="C133" s="58" t="str"/>
      <x:c r="D133" s="58" t="str"/>
      <x:c r="E133" s="58" t="str"/>
      <x:c r="F133" s="58"/>
      <x:c r="G133" s="58" t="str">
        <x:v>미등록</x:v>
      </x:c>
      <x:c r="H133" s="58" t="str"/>
      <x:c r="I133" s="58" t="str"/>
      <x:c r="J133" s="58" t="str"/>
    </x:row>
    <x:row r="134">
      <x:c r="A134" s="58" t="str"/>
      <x:c r="B134" s="58" t="str"/>
      <x:c r="C134" s="58" t="str"/>
      <x:c r="D134" s="58" t="str"/>
      <x:c r="E134" s="58" t="str"/>
      <x:c r="F134" s="58"/>
      <x:c r="G134" s="58" t="str">
        <x:v>미등록</x:v>
      </x:c>
      <x:c r="H134" s="58" t="str"/>
      <x:c r="I134" s="58" t="str"/>
      <x:c r="J134" s="58" t="str"/>
    </x:row>
    <x:row r="135">
      <x:c r="A135" s="58" t="str"/>
      <x:c r="B135" s="58" t="str"/>
      <x:c r="C135" s="58" t="str"/>
      <x:c r="D135" s="58" t="str"/>
      <x:c r="E135" s="58" t="str"/>
      <x:c r="F135" s="58"/>
      <x:c r="G135" s="58" t="str">
        <x:v>미등록</x:v>
      </x:c>
      <x:c r="H135" s="58" t="str"/>
      <x:c r="I135" s="58" t="str"/>
      <x:c r="J135" s="58" t="str"/>
    </x:row>
    <x:row r="136">
      <x:c r="A136" s="58" t="str"/>
      <x:c r="B136" s="58" t="str"/>
      <x:c r="C136" s="58" t="str"/>
      <x:c r="D136" s="58" t="str"/>
      <x:c r="E136" s="58" t="str"/>
      <x:c r="F136" s="58"/>
      <x:c r="G136" s="58" t="str">
        <x:v>미등록</x:v>
      </x:c>
      <x:c r="H136" s="58" t="str"/>
      <x:c r="I136" s="58" t="str"/>
      <x:c r="J136" s="58" t="str"/>
    </x:row>
    <x:row r="137">
      <x:c r="A137" s="58" t="str"/>
      <x:c r="B137" s="58" t="str"/>
      <x:c r="C137" s="58" t="str"/>
      <x:c r="D137" s="58" t="str"/>
      <x:c r="E137" s="58" t="str"/>
      <x:c r="F137" s="58"/>
      <x:c r="G137" s="58" t="str">
        <x:v>미등록</x:v>
      </x:c>
      <x:c r="H137" s="58" t="str"/>
      <x:c r="I137" s="58" t="str"/>
      <x:c r="J137" s="58" t="str"/>
    </x:row>
    <x:row r="138">
      <x:c r="A138" s="58" t="str"/>
      <x:c r="B138" s="58" t="str"/>
      <x:c r="C138" s="58" t="str"/>
      <x:c r="D138" s="58" t="str"/>
      <x:c r="E138" s="58" t="str"/>
      <x:c r="F138" s="58"/>
      <x:c r="G138" s="58" t="str">
        <x:v>미등록</x:v>
      </x:c>
      <x:c r="H138" s="58" t="str"/>
      <x:c r="I138" s="58" t="str"/>
      <x:c r="J138" s="58" t="str"/>
    </x:row>
    <x:row r="139">
      <x:c r="A139" s="58" t="str"/>
      <x:c r="B139" s="58" t="str"/>
      <x:c r="C139" s="58" t="str"/>
      <x:c r="D139" s="58" t="str"/>
      <x:c r="E139" s="58" t="str"/>
      <x:c r="F139" s="58"/>
      <x:c r="G139" s="58" t="str">
        <x:v>미등록</x:v>
      </x:c>
      <x:c r="H139" s="58" t="str"/>
      <x:c r="I139" s="58" t="str"/>
      <x:c r="J139" s="58" t="str"/>
    </x:row>
    <x:row r="140">
      <x:c r="A140" s="58" t="str"/>
      <x:c r="B140" s="58" t="str"/>
      <x:c r="C140" s="58" t="str"/>
      <x:c r="D140" s="58" t="str"/>
      <x:c r="E140" s="58" t="str"/>
      <x:c r="F140" s="58"/>
      <x:c r="G140" s="58" t="str">
        <x:v>미등록</x:v>
      </x:c>
      <x:c r="H140" s="58" t="str"/>
      <x:c r="I140" s="58" t="str"/>
      <x:c r="J140" s="58" t="str"/>
    </x:row>
    <x:row r="141">
      <x:c r="A141" s="58" t="str"/>
      <x:c r="B141" s="58" t="str"/>
      <x:c r="C141" s="58" t="str"/>
      <x:c r="D141" s="58" t="str"/>
      <x:c r="E141" s="58" t="str"/>
      <x:c r="F141" s="58"/>
      <x:c r="G141" s="58" t="str">
        <x:v>미등록</x:v>
      </x:c>
      <x:c r="H141" s="58" t="str"/>
      <x:c r="I141" s="58" t="str"/>
      <x:c r="J141" s="58" t="str"/>
    </x:row>
    <x:row r="142">
      <x:c r="A142" s="58" t="str"/>
      <x:c r="B142" s="58" t="str"/>
      <x:c r="C142" s="58" t="str"/>
      <x:c r="D142" s="58" t="str"/>
      <x:c r="E142" s="58" t="str"/>
      <x:c r="F142" s="58"/>
      <x:c r="G142" s="58" t="str">
        <x:v>미등록</x:v>
      </x:c>
      <x:c r="H142" s="58" t="str"/>
      <x:c r="I142" s="58" t="str"/>
      <x:c r="J142" s="58" t="str"/>
    </x:row>
    <x:row r="143">
      <x:c r="A143" s="58" t="str"/>
      <x:c r="B143" s="58" t="str"/>
      <x:c r="C143" s="58" t="str"/>
      <x:c r="D143" s="58" t="str"/>
      <x:c r="E143" s="58" t="str"/>
      <x:c r="F143" s="58"/>
      <x:c r="G143" s="58" t="str">
        <x:v>미등록</x:v>
      </x:c>
      <x:c r="H143" s="58" t="str"/>
      <x:c r="I143" s="58" t="str"/>
      <x:c r="J143" s="58" t="str"/>
    </x:row>
    <x:row r="144">
      <x:c r="A144" s="58" t="str"/>
      <x:c r="B144" s="58" t="str"/>
      <x:c r="C144" s="58" t="str"/>
      <x:c r="D144" s="58" t="str"/>
      <x:c r="E144" s="58" t="str"/>
      <x:c r="F144" s="58"/>
      <x:c r="G144" s="58" t="str">
        <x:v>미등록</x:v>
      </x:c>
      <x:c r="H144" s="58" t="str"/>
      <x:c r="I144" s="58" t="str"/>
      <x:c r="J144" s="58" t="str"/>
    </x:row>
    <x:row r="145">
      <x:c r="A145" s="58" t="str"/>
      <x:c r="B145" s="58" t="str"/>
      <x:c r="C145" s="58" t="str"/>
      <x:c r="D145" s="58" t="str"/>
      <x:c r="E145" s="58" t="str"/>
      <x:c r="F145" s="58"/>
      <x:c r="G145" s="58" t="str">
        <x:v>미등록</x:v>
      </x:c>
      <x:c r="H145" s="58" t="str"/>
      <x:c r="I145" s="58" t="str"/>
      <x:c r="J145" s="58" t="str"/>
    </x:row>
    <x:row r="146">
      <x:c r="A146" s="58" t="str"/>
      <x:c r="B146" s="58" t="str"/>
      <x:c r="C146" s="58" t="str"/>
      <x:c r="D146" s="58" t="str"/>
      <x:c r="E146" s="58" t="str"/>
      <x:c r="F146" s="58"/>
      <x:c r="G146" s="58" t="str">
        <x:v>미등록</x:v>
      </x:c>
      <x:c r="H146" s="58" t="str"/>
      <x:c r="I146" s="58" t="str"/>
      <x:c r="J146" s="58" t="str"/>
    </x:row>
    <x:row r="147">
      <x:c r="A147" s="58" t="str"/>
      <x:c r="B147" s="58" t="str"/>
      <x:c r="C147" s="58" t="str"/>
      <x:c r="D147" s="58" t="str"/>
      <x:c r="E147" s="58" t="str"/>
      <x:c r="F147" s="58"/>
      <x:c r="G147" s="58" t="str">
        <x:v>미등록</x:v>
      </x:c>
      <x:c r="H147" s="58" t="str"/>
      <x:c r="I147" s="58" t="str"/>
      <x:c r="J147" s="58" t="str"/>
    </x:row>
    <x:row r="148">
      <x:c r="A148" s="58" t="str"/>
      <x:c r="B148" s="58" t="str"/>
      <x:c r="C148" s="58" t="str"/>
      <x:c r="D148" s="58" t="str"/>
      <x:c r="E148" s="58" t="str"/>
      <x:c r="F148" s="58"/>
      <x:c r="G148" s="58" t="str">
        <x:v>미등록</x:v>
      </x:c>
      <x:c r="H148" s="58" t="str"/>
      <x:c r="I148" s="58" t="str"/>
      <x:c r="J148" s="58" t="str"/>
    </x:row>
    <x:row r="149">
      <x:c r="A149" s="58" t="str"/>
      <x:c r="B149" s="58" t="str"/>
      <x:c r="C149" s="58" t="str"/>
      <x:c r="D149" s="58" t="str"/>
      <x:c r="E149" s="58" t="str"/>
      <x:c r="F149" s="58"/>
      <x:c r="G149" s="58" t="str">
        <x:v>미등록</x:v>
      </x:c>
      <x:c r="H149" s="58" t="str"/>
      <x:c r="I149" s="58" t="str"/>
      <x:c r="J149" s="58" t="str"/>
    </x:row>
    <x:row r="150">
      <x:c r="A150" s="58" t="str"/>
      <x:c r="B150" s="58" t="str"/>
      <x:c r="C150" s="58" t="str"/>
      <x:c r="D150" s="58" t="str"/>
      <x:c r="E150" s="58" t="str"/>
      <x:c r="F150" s="58"/>
      <x:c r="G150" s="58" t="str">
        <x:v>미등록</x:v>
      </x:c>
      <x:c r="H150" s="58" t="str"/>
      <x:c r="I150" s="58" t="str"/>
      <x:c r="J150" s="58" t="str"/>
    </x:row>
    <x:row r="151">
      <x:c r="A151" s="58" t="str"/>
      <x:c r="B151" s="58" t="str"/>
      <x:c r="C151" s="58" t="str"/>
      <x:c r="D151" s="58" t="str"/>
      <x:c r="E151" s="58" t="str"/>
      <x:c r="F151" s="58"/>
      <x:c r="G151" s="58" t="str">
        <x:v>미등록</x:v>
      </x:c>
      <x:c r="H151" s="58" t="str"/>
      <x:c r="I151" s="58" t="str"/>
      <x:c r="J151" s="58" t="str"/>
    </x:row>
    <x:row r="152">
      <x:c r="A152" s="58" t="str"/>
      <x:c r="B152" s="58" t="str"/>
      <x:c r="C152" s="58" t="str"/>
      <x:c r="D152" s="58" t="str"/>
      <x:c r="E152" s="58" t="str"/>
      <x:c r="F152" s="58"/>
      <x:c r="G152" s="58" t="str">
        <x:v>미등록</x:v>
      </x:c>
      <x:c r="H152" s="58" t="str"/>
      <x:c r="I152" s="58" t="str"/>
      <x:c r="J152" s="58" t="str"/>
    </x:row>
    <x:row r="153">
      <x:c r="A153" s="58" t="str"/>
      <x:c r="B153" s="58" t="str"/>
      <x:c r="C153" s="58" t="str"/>
      <x:c r="D153" s="58" t="str"/>
      <x:c r="E153" s="58" t="str"/>
      <x:c r="F153" s="58"/>
      <x:c r="G153" s="58" t="str">
        <x:v>미등록</x:v>
      </x:c>
      <x:c r="H153" s="58" t="str"/>
      <x:c r="I153" s="58" t="str"/>
      <x:c r="J153" s="58" t="str"/>
    </x:row>
    <x:row r="154">
      <x:c r="A154" s="58" t="str"/>
      <x:c r="B154" s="58" t="str"/>
      <x:c r="C154" s="58" t="str"/>
      <x:c r="D154" s="58" t="str"/>
      <x:c r="E154" s="58" t="str"/>
      <x:c r="F154" s="58"/>
      <x:c r="G154" s="58" t="str">
        <x:v>미등록</x:v>
      </x:c>
      <x:c r="H154" s="58" t="str"/>
      <x:c r="I154" s="58" t="str"/>
      <x:c r="J154" s="58" t="str"/>
    </x:row>
    <x:row r="155">
      <x:c r="A155" s="58" t="str"/>
      <x:c r="B155" s="58" t="str"/>
      <x:c r="C155" s="58" t="str"/>
      <x:c r="D155" s="58" t="str"/>
      <x:c r="E155" s="58" t="str"/>
      <x:c r="F155" s="58"/>
      <x:c r="G155" s="58" t="str">
        <x:v>미등록</x:v>
      </x:c>
      <x:c r="H155" s="58" t="str"/>
      <x:c r="I155" s="58" t="str"/>
      <x:c r="J155" s="58" t="str"/>
    </x:row>
    <x:row r="156">
      <x:c r="A156" s="58" t="str"/>
      <x:c r="B156" s="58" t="str"/>
      <x:c r="C156" s="58" t="str"/>
      <x:c r="D156" s="58" t="str"/>
      <x:c r="E156" s="58" t="str"/>
      <x:c r="F156" s="58"/>
      <x:c r="G156" s="58" t="str">
        <x:v>미등록</x:v>
      </x:c>
      <x:c r="H156" s="58" t="str"/>
      <x:c r="I156" s="58" t="str"/>
      <x:c r="J156" s="58" t="str"/>
    </x:row>
    <x:row r="157">
      <x:c r="A157" s="58" t="str"/>
      <x:c r="B157" s="58" t="str"/>
      <x:c r="C157" s="58" t="str"/>
      <x:c r="D157" s="58" t="str"/>
      <x:c r="E157" s="58" t="str"/>
      <x:c r="F157" s="58"/>
      <x:c r="G157" s="58" t="str">
        <x:v>미등록</x:v>
      </x:c>
      <x:c r="H157" s="58" t="str"/>
      <x:c r="I157" s="58" t="str"/>
      <x:c r="J157" s="58" t="str"/>
    </x:row>
    <x:row r="158">
      <x:c r="A158" s="58" t="str"/>
      <x:c r="B158" s="58" t="str"/>
      <x:c r="C158" s="58" t="str"/>
      <x:c r="D158" s="58" t="str"/>
      <x:c r="E158" s="58" t="str"/>
      <x:c r="F158" s="58"/>
      <x:c r="G158" s="58" t="str">
        <x:v>미등록</x:v>
      </x:c>
      <x:c r="H158" s="58" t="str"/>
      <x:c r="I158" s="58" t="str"/>
      <x:c r="J158" s="58" t="str"/>
    </x:row>
    <x:row r="159">
      <x:c r="A159" s="58" t="str"/>
      <x:c r="B159" s="58" t="str"/>
      <x:c r="C159" s="58" t="str"/>
      <x:c r="D159" s="58" t="str"/>
      <x:c r="E159" s="58" t="str"/>
      <x:c r="F159" s="58"/>
      <x:c r="G159" s="58" t="str">
        <x:v>미등록</x:v>
      </x:c>
      <x:c r="H159" s="58" t="str"/>
      <x:c r="I159" s="58" t="str"/>
      <x:c r="J159" s="58" t="str"/>
    </x:row>
    <x:row r="160">
      <x:c r="A160" s="58" t="str"/>
      <x:c r="B160" s="58" t="str"/>
      <x:c r="C160" s="58" t="str"/>
      <x:c r="D160" s="58" t="str"/>
      <x:c r="E160" s="58" t="str"/>
      <x:c r="F160" s="58"/>
      <x:c r="G160" s="58" t="str">
        <x:v>미등록</x:v>
      </x:c>
      <x:c r="H160" s="58" t="str"/>
      <x:c r="I160" s="58" t="str"/>
      <x:c r="J160" s="58" t="str"/>
    </x:row>
    <x:row r="161">
      <x:c r="A161" s="58" t="str"/>
      <x:c r="B161" s="58" t="str"/>
      <x:c r="C161" s="58" t="str"/>
      <x:c r="D161" s="58" t="str"/>
      <x:c r="E161" s="58" t="str"/>
      <x:c r="F161" s="58"/>
      <x:c r="G161" s="58" t="str">
        <x:v>미등록</x:v>
      </x:c>
      <x:c r="H161" s="58" t="str"/>
      <x:c r="I161" s="58" t="str"/>
      <x:c r="J161" s="58" t="str"/>
    </x:row>
    <x:row r="162">
      <x:c r="A162" s="58" t="str"/>
      <x:c r="B162" s="58" t="str"/>
      <x:c r="C162" s="58" t="str"/>
      <x:c r="D162" s="58" t="str"/>
      <x:c r="E162" s="58" t="str"/>
      <x:c r="F162" s="58"/>
      <x:c r="G162" s="58" t="str">
        <x:v>미등록</x:v>
      </x:c>
      <x:c r="H162" s="58" t="str"/>
      <x:c r="I162" s="58" t="str"/>
      <x:c r="J162" s="58" t="str"/>
    </x:row>
    <x:row r="163">
      <x:c r="A163" s="58" t="str"/>
      <x:c r="B163" s="58" t="str"/>
      <x:c r="C163" s="58" t="str"/>
      <x:c r="D163" s="58" t="str"/>
      <x:c r="E163" s="58" t="str"/>
      <x:c r="F163" s="58"/>
      <x:c r="G163" s="58" t="str">
        <x:v>미등록</x:v>
      </x:c>
      <x:c r="H163" s="58" t="str"/>
      <x:c r="I163" s="58" t="str"/>
      <x:c r="J163" s="58" t="str"/>
    </x:row>
    <x:row r="164">
      <x:c r="A164" s="58" t="str"/>
      <x:c r="B164" s="58" t="str"/>
      <x:c r="C164" s="58" t="str"/>
      <x:c r="D164" s="58" t="str"/>
      <x:c r="E164" s="58" t="str"/>
      <x:c r="F164" s="58"/>
      <x:c r="G164" s="58" t="str">
        <x:v>미등록</x:v>
      </x:c>
      <x:c r="H164" s="58" t="str"/>
      <x:c r="I164" s="58" t="str"/>
      <x:c r="J164" s="58" t="str"/>
    </x:row>
    <x:row r="165">
      <x:c r="A165" s="58" t="str"/>
      <x:c r="B165" s="58" t="str"/>
      <x:c r="C165" s="58" t="str"/>
      <x:c r="D165" s="58" t="str"/>
      <x:c r="E165" s="58" t="str"/>
      <x:c r="F165" s="58"/>
      <x:c r="G165" s="58" t="str">
        <x:v>미등록</x:v>
      </x:c>
      <x:c r="H165" s="58" t="str"/>
      <x:c r="I165" s="58" t="str"/>
      <x:c r="J165" s="58" t="str"/>
    </x:row>
    <x:row r="166">
      <x:c r="A166" s="58" t="str"/>
      <x:c r="B166" s="58" t="str"/>
      <x:c r="C166" s="58" t="str"/>
      <x:c r="D166" s="58" t="str"/>
      <x:c r="E166" s="58" t="str"/>
      <x:c r="F166" s="58"/>
      <x:c r="G166" s="58" t="str">
        <x:v>미등록</x:v>
      </x:c>
      <x:c r="H166" s="58" t="str"/>
      <x:c r="I166" s="58" t="str"/>
      <x:c r="J166" s="58" t="str"/>
    </x:row>
    <x:row r="167">
      <x:c r="A167" s="58" t="str"/>
      <x:c r="B167" s="58" t="str"/>
      <x:c r="C167" s="58" t="str"/>
      <x:c r="D167" s="58" t="str"/>
      <x:c r="E167" s="58" t="str"/>
      <x:c r="F167" s="58"/>
      <x:c r="G167" s="58" t="str">
        <x:v>미등록</x:v>
      </x:c>
      <x:c r="H167" s="58" t="str"/>
      <x:c r="I167" s="58" t="str"/>
      <x:c r="J167" s="58" t="str"/>
    </x:row>
    <x:row r="168">
      <x:c r="A168" s="58" t="str"/>
      <x:c r="B168" s="58" t="str"/>
      <x:c r="C168" s="58" t="str"/>
      <x:c r="D168" s="58" t="str"/>
      <x:c r="E168" s="58" t="str"/>
      <x:c r="F168" s="58"/>
      <x:c r="G168" s="58" t="str">
        <x:v>미등록</x:v>
      </x:c>
      <x:c r="H168" s="58" t="str"/>
      <x:c r="I168" s="58" t="str"/>
      <x:c r="J168" s="58" t="str"/>
    </x:row>
    <x:row r="169">
      <x:c r="A169" s="58" t="str"/>
      <x:c r="B169" s="58" t="str"/>
      <x:c r="C169" s="58" t="str"/>
      <x:c r="D169" s="58" t="str"/>
      <x:c r="E169" s="58" t="str"/>
      <x:c r="F169" s="58"/>
      <x:c r="G169" s="58" t="str">
        <x:v>미등록</x:v>
      </x:c>
      <x:c r="H169" s="58" t="str"/>
      <x:c r="I169" s="58" t="str"/>
      <x:c r="J169" s="58" t="str"/>
    </x:row>
    <x:row r="170">
      <x:c r="A170" s="58" t="str"/>
      <x:c r="B170" s="58" t="str"/>
      <x:c r="C170" s="58" t="str"/>
      <x:c r="D170" s="58" t="str"/>
      <x:c r="E170" s="58" t="str"/>
      <x:c r="F170" s="58"/>
      <x:c r="G170" s="58" t="str">
        <x:v>미등록</x:v>
      </x:c>
      <x:c r="H170" s="58" t="str"/>
      <x:c r="I170" s="58" t="str"/>
      <x:c r="J170" s="58" t="str"/>
    </x:row>
    <x:row r="171">
      <x:c r="A171" s="58" t="str"/>
      <x:c r="B171" s="58" t="str"/>
      <x:c r="C171" s="58" t="str"/>
      <x:c r="D171" s="58" t="str"/>
      <x:c r="E171" s="58" t="str"/>
      <x:c r="F171" s="58"/>
      <x:c r="G171" s="58" t="str">
        <x:v>미등록</x:v>
      </x:c>
      <x:c r="H171" s="58" t="str"/>
      <x:c r="I171" s="58" t="str"/>
      <x:c r="J171" s="58" t="str"/>
    </x:row>
    <x:row r="172">
      <x:c r="A172" s="58" t="str"/>
      <x:c r="B172" s="58" t="str"/>
      <x:c r="C172" s="58" t="str"/>
      <x:c r="D172" s="58" t="str"/>
      <x:c r="E172" s="58" t="str"/>
      <x:c r="F172" s="58"/>
      <x:c r="G172" s="58" t="str">
        <x:v>미등록</x:v>
      </x:c>
      <x:c r="H172" s="58" t="str"/>
      <x:c r="I172" s="58" t="str"/>
      <x:c r="J172" s="58" t="str"/>
    </x:row>
    <x:row r="173">
      <x:c r="A173" s="58" t="str"/>
      <x:c r="B173" s="58" t="str"/>
      <x:c r="C173" s="58" t="str"/>
      <x:c r="D173" s="58" t="str"/>
      <x:c r="E173" s="58" t="str"/>
      <x:c r="F173" s="58"/>
      <x:c r="G173" s="58" t="str">
        <x:v>미등록</x:v>
      </x:c>
      <x:c r="H173" s="58" t="str"/>
      <x:c r="I173" s="58" t="str"/>
      <x:c r="J173" s="58" t="str"/>
    </x:row>
    <x:row r="174">
      <x:c r="A174" s="58" t="str"/>
      <x:c r="B174" s="58" t="str"/>
      <x:c r="C174" s="58" t="str"/>
      <x:c r="D174" s="58" t="str"/>
      <x:c r="E174" s="58" t="str"/>
      <x:c r="F174" s="58"/>
      <x:c r="G174" s="58" t="str">
        <x:v>미등록</x:v>
      </x:c>
      <x:c r="H174" s="58" t="str"/>
      <x:c r="I174" s="58" t="str"/>
      <x:c r="J174" s="58" t="str"/>
    </x:row>
    <x:row r="175">
      <x:c r="A175" s="58" t="str"/>
      <x:c r="B175" s="58" t="str"/>
      <x:c r="C175" s="58" t="str"/>
      <x:c r="D175" s="58" t="str"/>
      <x:c r="E175" s="58" t="str"/>
      <x:c r="F175" s="58"/>
      <x:c r="G175" s="58" t="str">
        <x:v>미등록</x:v>
      </x:c>
      <x:c r="H175" s="58" t="str"/>
      <x:c r="I175" s="58" t="str"/>
      <x:c r="J175" s="58" t="str"/>
    </x:row>
    <x:row r="176">
      <x:c r="A176" s="58" t="str"/>
      <x:c r="B176" s="58" t="str"/>
      <x:c r="C176" s="58" t="str"/>
      <x:c r="D176" s="58" t="str"/>
      <x:c r="E176" s="58" t="str"/>
      <x:c r="F176" s="58"/>
      <x:c r="G176" s="58" t="str">
        <x:v>미등록</x:v>
      </x:c>
      <x:c r="H176" s="58" t="str"/>
      <x:c r="I176" s="58" t="str"/>
      <x:c r="J176" s="58" t="str"/>
    </x:row>
    <x:row r="177">
      <x:c r="A177" s="58" t="str"/>
      <x:c r="B177" s="58" t="str"/>
      <x:c r="C177" s="58" t="str"/>
      <x:c r="D177" s="58" t="str"/>
      <x:c r="E177" s="58" t="str"/>
      <x:c r="F177" s="58"/>
      <x:c r="G177" s="58" t="str">
        <x:v>미등록</x:v>
      </x:c>
      <x:c r="H177" s="58" t="str"/>
      <x:c r="I177" s="58" t="str"/>
      <x:c r="J177" s="58" t="str"/>
    </x:row>
    <x:row r="178">
      <x:c r="A178" s="58" t="str"/>
      <x:c r="B178" s="58" t="str"/>
      <x:c r="C178" s="58" t="str"/>
      <x:c r="D178" s="58" t="str"/>
      <x:c r="E178" s="58" t="str"/>
      <x:c r="F178" s="58"/>
      <x:c r="G178" s="58" t="str">
        <x:v>미등록</x:v>
      </x:c>
      <x:c r="H178" s="58" t="str"/>
      <x:c r="I178" s="58" t="str"/>
      <x:c r="J178" s="58" t="str"/>
    </x:row>
    <x:row r="179">
      <x:c r="A179" s="58" t="str"/>
      <x:c r="B179" s="58" t="str"/>
      <x:c r="C179" s="58" t="str"/>
      <x:c r="D179" s="58" t="str"/>
      <x:c r="E179" s="58" t="str"/>
      <x:c r="F179" s="58"/>
      <x:c r="G179" s="58" t="str">
        <x:v>미등록</x:v>
      </x:c>
      <x:c r="H179" s="58" t="str"/>
      <x:c r="I179" s="58" t="str"/>
      <x:c r="J179" s="58" t="str"/>
    </x:row>
    <x:row r="180">
      <x:c r="A180" s="58" t="str"/>
      <x:c r="B180" s="58" t="str"/>
      <x:c r="C180" s="58" t="str"/>
      <x:c r="D180" s="58" t="str"/>
      <x:c r="E180" s="58" t="str"/>
      <x:c r="F180" s="58"/>
      <x:c r="G180" s="58" t="str">
        <x:v>미등록</x:v>
      </x:c>
      <x:c r="H180" s="58" t="str"/>
      <x:c r="I180" s="58" t="str"/>
      <x:c r="J180" s="58" t="str"/>
    </x:row>
    <x:row r="181">
      <x:c r="A181" s="58" t="str"/>
      <x:c r="B181" s="58" t="str"/>
      <x:c r="C181" s="58" t="str"/>
      <x:c r="D181" s="58" t="str"/>
      <x:c r="E181" s="58" t="str"/>
      <x:c r="F181" s="58"/>
      <x:c r="G181" s="58" t="str">
        <x:v>미등록</x:v>
      </x:c>
      <x:c r="H181" s="58" t="str"/>
      <x:c r="I181" s="58" t="str"/>
      <x:c r="J181" s="58" t="str"/>
    </x:row>
    <x:row r="182">
      <x:c r="A182" s="58" t="str"/>
      <x:c r="B182" s="58" t="str"/>
      <x:c r="C182" s="58" t="str"/>
      <x:c r="D182" s="58" t="str"/>
      <x:c r="E182" s="58" t="str"/>
      <x:c r="F182" s="58"/>
      <x:c r="G182" s="58" t="str">
        <x:v>미등록</x:v>
      </x:c>
      <x:c r="H182" s="58" t="str"/>
      <x:c r="I182" s="58" t="str"/>
      <x:c r="J182" s="58" t="str"/>
    </x:row>
    <x:row r="183">
      <x:c r="A183" s="58" t="str"/>
      <x:c r="B183" s="58" t="str"/>
      <x:c r="C183" s="58" t="str"/>
      <x:c r="D183" s="58" t="str"/>
      <x:c r="E183" s="58" t="str"/>
      <x:c r="F183" s="58"/>
      <x:c r="G183" s="58" t="str">
        <x:v>미등록</x:v>
      </x:c>
      <x:c r="H183" s="58" t="str"/>
      <x:c r="I183" s="58" t="str"/>
      <x:c r="J183" s="58" t="str"/>
    </x:row>
    <x:row r="184">
      <x:c r="A184" s="58" t="str"/>
      <x:c r="B184" s="58" t="str"/>
      <x:c r="C184" s="58" t="str"/>
      <x:c r="D184" s="58" t="str"/>
      <x:c r="E184" s="58" t="str"/>
      <x:c r="F184" s="58"/>
      <x:c r="G184" s="58" t="str">
        <x:v>미등록</x:v>
      </x:c>
      <x:c r="H184" s="58" t="str"/>
      <x:c r="I184" s="58" t="str"/>
      <x:c r="J184" s="58" t="str"/>
    </x:row>
    <x:row r="185">
      <x:c r="A185" s="58" t="str"/>
      <x:c r="B185" s="58" t="str"/>
      <x:c r="C185" s="58" t="str"/>
      <x:c r="D185" s="58" t="str"/>
      <x:c r="E185" s="58" t="str"/>
      <x:c r="F185" s="58"/>
      <x:c r="G185" s="58" t="str">
        <x:v>미등록</x:v>
      </x:c>
      <x:c r="H185" s="58" t="str"/>
      <x:c r="I185" s="58" t="str"/>
      <x:c r="J185" s="58" t="str"/>
    </x:row>
    <x:row r="186">
      <x:c r="A186" s="58" t="str"/>
      <x:c r="B186" s="58" t="str"/>
      <x:c r="C186" s="58" t="str"/>
      <x:c r="D186" s="58" t="str"/>
      <x:c r="E186" s="58" t="str"/>
      <x:c r="F186" s="58"/>
      <x:c r="G186" s="58" t="str">
        <x:v>미등록</x:v>
      </x:c>
      <x:c r="H186" s="58" t="str"/>
      <x:c r="I186" s="58" t="str"/>
      <x:c r="J186" s="58" t="str"/>
    </x:row>
    <x:row r="187">
      <x:c r="A187" s="58" t="str"/>
      <x:c r="B187" s="58" t="str"/>
      <x:c r="C187" s="58" t="str"/>
      <x:c r="D187" s="58" t="str"/>
      <x:c r="E187" s="58" t="str"/>
      <x:c r="F187" s="58"/>
      <x:c r="G187" s="58" t="str">
        <x:v>미등록</x:v>
      </x:c>
      <x:c r="H187" s="58" t="str"/>
      <x:c r="I187" s="58" t="str"/>
      <x:c r="J187" s="58" t="str"/>
    </x:row>
    <x:row r="188">
      <x:c r="A188" s="58" t="str"/>
      <x:c r="B188" s="58" t="str"/>
      <x:c r="C188" s="58" t="str"/>
      <x:c r="D188" s="58" t="str"/>
      <x:c r="E188" s="58" t="str"/>
      <x:c r="F188" s="58"/>
      <x:c r="G188" s="58" t="str">
        <x:v>미등록</x:v>
      </x:c>
      <x:c r="H188" s="58" t="str"/>
      <x:c r="I188" s="58" t="str"/>
      <x:c r="J188" s="58" t="str"/>
    </x:row>
    <x:row r="189">
      <x:c r="A189" s="58" t="str"/>
      <x:c r="B189" s="58" t="str"/>
      <x:c r="C189" s="58" t="str"/>
      <x:c r="D189" s="58" t="str"/>
      <x:c r="E189" s="58" t="str"/>
      <x:c r="F189" s="58"/>
      <x:c r="G189" s="58" t="str">
        <x:v>미등록</x:v>
      </x:c>
      <x:c r="H189" s="58" t="str"/>
      <x:c r="I189" s="58" t="str"/>
      <x:c r="J189" s="58" t="str"/>
    </x:row>
    <x:row r="190">
      <x:c r="A190" s="58" t="str"/>
      <x:c r="B190" s="58" t="str"/>
      <x:c r="C190" s="58" t="str"/>
      <x:c r="D190" s="58" t="str"/>
      <x:c r="E190" s="58" t="str"/>
      <x:c r="F190" s="58"/>
      <x:c r="G190" s="58" t="str">
        <x:v>미등록</x:v>
      </x:c>
      <x:c r="H190" s="58" t="str"/>
      <x:c r="I190" s="58" t="str"/>
      <x:c r="J190" s="58" t="str"/>
    </x:row>
    <x:row r="191">
      <x:c r="A191" s="58" t="str"/>
      <x:c r="B191" s="58" t="str"/>
      <x:c r="C191" s="58" t="str"/>
      <x:c r="D191" s="58" t="str"/>
      <x:c r="E191" s="58" t="str"/>
      <x:c r="F191" s="58"/>
      <x:c r="G191" s="58" t="str">
        <x:v>미등록</x:v>
      </x:c>
      <x:c r="H191" s="58" t="str"/>
      <x:c r="I191" s="58" t="str"/>
      <x:c r="J191" s="58" t="str"/>
    </x:row>
    <x:row r="192">
      <x:c r="A192" s="58" t="str"/>
      <x:c r="B192" s="58" t="str"/>
      <x:c r="C192" s="58" t="str"/>
      <x:c r="D192" s="58" t="str"/>
      <x:c r="E192" s="58" t="str"/>
      <x:c r="F192" s="58"/>
      <x:c r="G192" s="58" t="str">
        <x:v>미등록</x:v>
      </x:c>
      <x:c r="H192" s="58" t="str"/>
      <x:c r="I192" s="58" t="str"/>
      <x:c r="J192" s="58" t="str"/>
    </x:row>
    <x:row r="193">
      <x:c r="A193" s="58" t="str"/>
      <x:c r="B193" s="58" t="str"/>
      <x:c r="C193" s="58" t="str"/>
      <x:c r="D193" s="58" t="str"/>
      <x:c r="E193" s="58" t="str"/>
      <x:c r="F193" s="58"/>
      <x:c r="G193" s="58" t="str">
        <x:v>미등록</x:v>
      </x:c>
      <x:c r="H193" s="58" t="str"/>
      <x:c r="I193" s="58" t="str"/>
      <x:c r="J193" s="58" t="str"/>
    </x:row>
    <x:row r="194">
      <x:c r="A194" s="58" t="str"/>
      <x:c r="B194" s="58" t="str"/>
      <x:c r="C194" s="58" t="str"/>
      <x:c r="D194" s="58" t="str"/>
      <x:c r="E194" s="58" t="str"/>
      <x:c r="F194" s="58"/>
      <x:c r="G194" s="58" t="str">
        <x:v>미등록</x:v>
      </x:c>
      <x:c r="H194" s="58" t="str"/>
      <x:c r="I194" s="58" t="str"/>
      <x:c r="J194" s="58" t="str"/>
    </x:row>
    <x:row r="195">
      <x:c r="A195" s="58" t="str"/>
      <x:c r="B195" s="58" t="str"/>
      <x:c r="C195" s="58" t="str"/>
      <x:c r="D195" s="58" t="str"/>
      <x:c r="E195" s="58" t="str"/>
      <x:c r="F195" s="58"/>
      <x:c r="G195" s="58" t="str">
        <x:v>미등록</x:v>
      </x:c>
      <x:c r="H195" s="58" t="str"/>
      <x:c r="I195" s="58" t="str"/>
      <x:c r="J195" s="58" t="str"/>
    </x:row>
    <x:row r="196">
      <x:c r="A196" s="58" t="str"/>
      <x:c r="B196" s="58" t="str"/>
      <x:c r="C196" s="58" t="str"/>
      <x:c r="D196" s="58" t="str"/>
      <x:c r="E196" s="58" t="str"/>
      <x:c r="F196" s="58"/>
      <x:c r="G196" s="58" t="str">
        <x:v>미등록</x:v>
      </x:c>
      <x:c r="H196" s="58" t="str"/>
      <x:c r="I196" s="58" t="str"/>
      <x:c r="J196" s="58" t="str"/>
    </x:row>
    <x:row r="197">
      <x:c r="A197" s="58" t="str"/>
      <x:c r="B197" s="58" t="str"/>
      <x:c r="C197" s="58" t="str"/>
      <x:c r="D197" s="58" t="str"/>
      <x:c r="E197" s="58" t="str"/>
      <x:c r="F197" s="58"/>
      <x:c r="G197" s="58" t="str">
        <x:v>미등록</x:v>
      </x:c>
      <x:c r="H197" s="58" t="str"/>
      <x:c r="I197" s="58" t="str"/>
      <x:c r="J197" s="58" t="str"/>
    </x:row>
    <x:row r="198">
      <x:c r="A198" s="58" t="str"/>
      <x:c r="B198" s="58" t="str"/>
      <x:c r="C198" s="58" t="str"/>
      <x:c r="D198" s="58" t="str"/>
      <x:c r="E198" s="58" t="str"/>
      <x:c r="F198" s="58"/>
      <x:c r="G198" s="58" t="str">
        <x:v>미등록</x:v>
      </x:c>
      <x:c r="H198" s="58" t="str"/>
      <x:c r="I198" s="58" t="str"/>
      <x:c r="J198" s="58" t="str"/>
    </x:row>
    <x:row r="199">
      <x:c r="A199" s="58" t="str"/>
      <x:c r="B199" s="58" t="str"/>
      <x:c r="C199" s="58" t="str"/>
      <x:c r="D199" s="58" t="str"/>
      <x:c r="E199" s="58" t="str"/>
      <x:c r="F199" s="58"/>
      <x:c r="G199" s="58" t="str">
        <x:v>미등록</x:v>
      </x:c>
      <x:c r="H199" s="58" t="str"/>
      <x:c r="I199" s="58" t="str"/>
      <x:c r="J199" s="58" t="str"/>
    </x:row>
    <x:row r="200">
      <x:c r="A200" s="58" t="str"/>
      <x:c r="B200" s="58" t="str"/>
      <x:c r="C200" s="58" t="str"/>
      <x:c r="D200" s="58" t="str"/>
      <x:c r="E200" s="58" t="str"/>
      <x:c r="F200" s="58"/>
      <x:c r="G200" s="58" t="str">
        <x:v>미등록</x:v>
      </x:c>
      <x:c r="H200" s="58" t="str"/>
      <x:c r="I200" s="58" t="str"/>
      <x:c r="J200" s="58" t="str"/>
    </x:row>
    <x:row r="201">
      <x:c r="A201" s="58" t="str"/>
      <x:c r="B201" s="58" t="str"/>
      <x:c r="C201" s="58" t="str"/>
      <x:c r="D201" s="58" t="str"/>
      <x:c r="E201" s="58" t="str"/>
      <x:c r="F201" s="58"/>
      <x:c r="G201" s="58" t="str">
        <x:v>미등록</x:v>
      </x:c>
      <x:c r="H201" s="58" t="str"/>
      <x:c r="I201" s="58" t="str"/>
      <x:c r="J201" s="58" t="str"/>
    </x:row>
    <x:row r="202">
      <x:c r="A202" s="58" t="str"/>
      <x:c r="B202" s="58" t="str"/>
      <x:c r="C202" s="58" t="str"/>
      <x:c r="D202" s="58" t="str"/>
      <x:c r="E202" s="58" t="str"/>
      <x:c r="F202" s="58"/>
      <x:c r="G202" s="58" t="str">
        <x:v>미등록</x:v>
      </x:c>
      <x:c r="H202" s="58" t="str"/>
      <x:c r="I202" s="58" t="str"/>
      <x:c r="J202" s="58" t="str"/>
    </x:row>
    <x:row r="203">
      <x:c r="A203" s="58" t="str"/>
      <x:c r="B203" s="58" t="str"/>
      <x:c r="C203" s="58" t="str"/>
      <x:c r="D203" s="58" t="str"/>
      <x:c r="E203" s="58" t="str"/>
      <x:c r="F203" s="58"/>
      <x:c r="G203" s="58" t="str">
        <x:v>미등록</x:v>
      </x:c>
      <x:c r="H203" s="58" t="str"/>
      <x:c r="I203" s="58" t="str"/>
      <x:c r="J203" s="58" t="str"/>
    </x:row>
    <x:row r="204">
      <x:c r="A204" s="58" t="str"/>
      <x:c r="B204" s="58" t="str"/>
      <x:c r="C204" s="58" t="str"/>
      <x:c r="D204" s="58" t="str"/>
      <x:c r="E204" s="58" t="str"/>
      <x:c r="F204" s="58"/>
      <x:c r="G204" s="58" t="str">
        <x:v>미등록</x:v>
      </x:c>
      <x:c r="H204" s="58" t="str"/>
      <x:c r="I204" s="58" t="str"/>
      <x:c r="J204" s="58" t="str"/>
    </x:row>
  </x:sheetData>
  <x:mergeCells>
    <x:mergeCell ref="A1:J1"/>
    <x:mergeCell ref="A2:J2"/>
  </x:mergeCells>
  <x:conditionalFormatting sqref="G5:G204">
    <x:cfRule type="containsText" dxfId="3" priority="1" operator="containsText" text="검토 필요"/>
  </x:conditionalFormatting>
  <x:dataValidations count="2">
    <x:dataValidation type="list" sqref="G5:G204">
      <x:formula1>"미등록,검토 필요,조치 중,승인 요청,승인 완료,반려,종결"</x:formula1>
    </x:dataValidation>
    <x:dataValidation type="list" sqref="B5:B204">
      <x:formula1>"0 OL 취합,① 수요,② 재고,③ 기기,④ 옵션,⑤ 보고,⑥ 입력,⑦ 입고/지불"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550cbb53f243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42" hidden="0" customWidth="1"/>
  </x:cols>
  <x:sheetData>
    <x:row r="1" ht="28" customHeight="1">
      <x:c r="A1" s="52" t="str">
        <x:v>사장 보고용 발주 요약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수치가 채워진 계산 시트에서 자동 집계됩니다. 변동 원인은 08_예외_승인 또는 메모란에 기록합니다.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62" t="str">
        <x:v>보고월</x:v>
      </x:c>
      <x:c r="B4" s="63" t="n">
        <x:v>46235</x:v>
      </x:c>
      <x:c r="C4" s="54"/>
      <x:c r="D4" s="54"/>
      <x:c r="E4" s="54"/>
      <x:c r="F4" s="54"/>
      <x:c r="G4" s="54"/>
      <x:c r="H4" s="54"/>
      <x:c r="I4" s="54"/>
      <x:c r="J4" s="54"/>
    </x:row>
    <x:row r="5">
      <x:c r="A5" s="62" t="str">
        <x:v>보고상태</x:v>
      </x:c>
      <x:c r="B5" s="64" t="str">
        <x:v>작성 중</x:v>
      </x:c>
      <x:c r="C5" s="54"/>
      <x:c r="D5" s="54"/>
      <x:c r="E5" s="54"/>
      <x:c r="F5" s="54"/>
      <x:c r="G5" s="54"/>
      <x:c r="H5" s="54"/>
      <x:c r="I5" s="54"/>
      <x:c r="J5" s="54"/>
    </x:row>
    <x:row r="6">
      <x:c r="A6" s="54"/>
      <x:c r="B6" s="54"/>
      <x:c r="C6" s="54"/>
      <x:c r="D6" s="54"/>
      <x:c r="E6" s="54"/>
      <x:c r="F6" s="54"/>
      <x:c r="G6" s="54"/>
      <x:c r="H6" s="54"/>
      <x:c r="I6" s="54"/>
      <x:c r="J6" s="54"/>
    </x:row>
    <x:row r="7">
      <x:c r="A7" s="54"/>
      <x:c r="B7" s="54"/>
      <x:c r="C7" s="54"/>
      <x:c r="D7" s="54"/>
      <x:c r="E7" s="54"/>
      <x:c r="F7" s="54"/>
      <x:c r="G7" s="54"/>
      <x:c r="H7" s="54"/>
      <x:c r="I7" s="54"/>
      <x:c r="J7" s="54"/>
    </x:row>
    <x:row r="8">
      <x:c r="A8" s="55" t="str">
        <x:v>구분</x:v>
      </x:c>
      <x:c r="B8" s="55" t="str">
        <x:v>당월 수량</x:v>
      </x:c>
      <x:c r="C8" s="55" t="str">
        <x:v>당월 금액</x:v>
      </x:c>
      <x:c r="D8" s="55" t="str">
        <x:v>전월 수량</x:v>
      </x:c>
      <x:c r="E8" s="55" t="str">
        <x:v>전월 금액</x:v>
      </x:c>
      <x:c r="F8" s="55" t="str">
        <x:v>증감 원인</x:v>
      </x:c>
      <x:c r="G8" s="54"/>
      <x:c r="H8" s="54"/>
      <x:c r="I8" s="54"/>
      <x:c r="J8" s="54"/>
    </x:row>
    <x:row r="9">
      <x:c r="A9" s="59" t="str">
        <x:v>기기</x:v>
      </x:c>
      <x:c r="B9" s="66" t="n">
        <x:f>SUM('05_기기발주계산'!$Q$6:$Q$205)</x:f>
        <x:v>0</x:v>
      </x:c>
      <x:c r="C9" s="66" t="n">
        <x:f>SUM('05_기기발주계산'!$R$6:$R$205)</x:f>
        <x:v>0</x:v>
      </x:c>
      <x:c r="D9" s="74" t="n">
        <x:v>0</x:v>
      </x:c>
      <x:c r="E9" s="74" t="n">
        <x:v>0</x:v>
      </x:c>
      <x:c r="F9" s="59" t="str">
        <x:v>수요·재고·MOQ·Flex 변동</x:v>
      </x:c>
      <x:c r="G9" s="54"/>
      <x:c r="H9" s="54"/>
      <x:c r="I9" s="54"/>
      <x:c r="J9" s="54"/>
    </x:row>
    <x:row r="10">
      <x:c r="A10" s="59" t="str">
        <x:v>옵션</x:v>
      </x:c>
      <x:c r="B10" s="66" t="n">
        <x:f>SUM('06_옵션발주계산'!$S$6:$S$205)</x:f>
        <x:v>0</x:v>
      </x:c>
      <x:c r="C10" s="66" t="n">
        <x:f>SUM('06_옵션발주계산'!$U$6:$U$205)</x:f>
        <x:v>0</x:v>
      </x:c>
      <x:c r="D10" s="74" t="n">
        <x:v>0</x:v>
      </x:c>
      <x:c r="E10" s="74" t="n">
        <x:v>0</x:v>
      </x:c>
      <x:c r="F10" s="59" t="str">
        <x:v>BOM·장착율·Common품·MOQ 변동</x:v>
      </x:c>
      <x:c r="G10" s="54"/>
      <x:c r="H10" s="54"/>
      <x:c r="I10" s="54"/>
      <x:c r="J10" s="54"/>
    </x:row>
    <x:row r="11">
      <x:c r="A11" s="65" t="str">
        <x:v>합계</x:v>
      </x:c>
      <x:c r="B11" s="75" t="n">
        <x:f>SUM(B9:B10)</x:f>
        <x:v>0</x:v>
      </x:c>
      <x:c r="C11" s="75" t="n">
        <x:f>SUM(C9:C10)</x:f>
        <x:v>0</x:v>
      </x:c>
      <x:c r="D11" s="75" t="n">
        <x:f>SUM(D9:D10)</x:f>
        <x:v>0</x:v>
      </x:c>
      <x:c r="E11" s="75" t="n">
        <x:f>SUM(E9:E10)</x:f>
        <x:v>0</x:v>
      </x:c>
      <x:c r="F11" s="65" t="str"/>
      <x:c r="G11" s="54"/>
      <x:c r="H11" s="54"/>
      <x:c r="I11" s="54"/>
      <x:c r="J11" s="54"/>
    </x:row>
    <x:row r="12">
      <x:c r="A12" s="54"/>
      <x:c r="B12" s="54"/>
      <x:c r="C12" s="54"/>
      <x:c r="D12" s="54"/>
      <x:c r="E12" s="54"/>
      <x:c r="F12" s="54"/>
      <x:c r="G12" s="54"/>
      <x:c r="H12" s="54"/>
      <x:c r="I12" s="54"/>
      <x:c r="J12" s="54"/>
    </x:row>
    <x:row r="13">
      <x:c r="A13" s="54"/>
      <x:c r="B13" s="54"/>
      <x:c r="C13" s="54"/>
      <x:c r="D13" s="54"/>
      <x:c r="E13" s="54"/>
      <x:c r="F13" s="54"/>
      <x:c r="G13" s="54"/>
      <x:c r="H13" s="54"/>
      <x:c r="I13" s="54"/>
      <x:c r="J13" s="54"/>
    </x:row>
    <x:row r="14">
      <x:c r="A14" s="54"/>
      <x:c r="B14" s="54"/>
      <x:c r="C14" s="54"/>
      <x:c r="D14" s="54"/>
      <x:c r="E14" s="54"/>
      <x:c r="F14" s="54"/>
      <x:c r="G14" s="54"/>
      <x:c r="H14" s="54"/>
      <x:c r="I14" s="54"/>
      <x:c r="J14" s="54"/>
    </x:row>
    <x:row r="15">
      <x:c r="A15" s="55" t="str">
        <x:v>비교 항목</x:v>
      </x:c>
      <x:c r="B15" s="55" t="str">
        <x:v>전월 OL</x:v>
      </x:c>
      <x:c r="C15" s="55" t="str">
        <x:v>최종 확정 수요</x:v>
      </x:c>
      <x:c r="D15" s="55" t="str">
        <x:v>실제 발주 필요량</x:v>
      </x:c>
      <x:c r="E15" s="55" t="str">
        <x:v>차이</x:v>
      </x:c>
      <x:c r="F15" s="55" t="str">
        <x:v>차이 사유</x:v>
      </x:c>
      <x:c r="G15" s="54"/>
      <x:c r="H15" s="54"/>
      <x:c r="I15" s="54"/>
      <x:c r="J15" s="54"/>
    </x:row>
    <x:row r="16">
      <x:c r="A16" s="59" t="str">
        <x:v>기기</x:v>
      </x:c>
      <x:c r="B16" s="59" t="n">
        <x:v>0</x:v>
      </x:c>
      <x:c r="C16" s="60" t="n">
        <x:f>SUM('03_수요입력'!$M$5:$M$204)</x:f>
        <x:v>0</x:v>
      </x:c>
      <x:c r="D16" s="60" t="n">
        <x:f>SUM('05_기기발주계산'!$L$6:$L$205)</x:f>
        <x:v>0</x:v>
      </x:c>
      <x:c r="E16" s="60" t="n">
        <x:f>D16-C16</x:f>
        <x:v>0</x:v>
      </x:c>
      <x:c r="F16" s="59" t="str"/>
      <x:c r="G16" s="54"/>
      <x:c r="H16" s="54"/>
      <x:c r="I16" s="54"/>
      <x:c r="J16" s="54"/>
    </x:row>
    <x:row r="17">
      <x:c r="A17" s="59" t="str">
        <x:v>옵션</x:v>
      </x:c>
      <x:c r="B17" s="59" t="n">
        <x:v>0</x:v>
      </x:c>
      <x:c r="C17" s="60" t="n">
        <x:f>SUM('06_옵션발주계산'!$K$6:$K$205)</x:f>
        <x:v>0</x:v>
      </x:c>
      <x:c r="D17" s="60" t="n">
        <x:f>SUM('06_옵션발주계산'!$N$6:$N$205)</x:f>
        <x:v>0</x:v>
      </x:c>
      <x:c r="E17" s="60" t="n">
        <x:f>D17-C17</x:f>
        <x:v>0</x:v>
      </x:c>
      <x:c r="F17" s="59" t="str"/>
      <x:c r="G17" s="54"/>
      <x:c r="H17" s="54"/>
      <x:c r="I17" s="54"/>
      <x:c r="J17" s="54"/>
    </x:row>
    <x:row r="18">
      <x:c r="A18" s="59" t="str">
        <x:v>Flex 초과 건수</x:v>
      </x:c>
      <x:c r="B18" s="59" t="n">
        <x:v>0</x:v>
      </x:c>
      <x:c r="C18" s="60" t="n">
        <x:f>COUNTIF('05_기기발주계산'!$P$6:$P$205,"Flex 초과")+COUNTIF('06_옵션발주계산'!$P$6:$P$205,"Flex 초과")</x:f>
        <x:v>0</x:v>
      </x:c>
      <x:c r="D18" s="60"/>
      <x:c r="E18" s="60"/>
      <x:c r="F18" s="59" t="str"/>
      <x:c r="G18" s="54"/>
      <x:c r="H18" s="54"/>
      <x:c r="I18" s="54"/>
      <x:c r="J18" s="54"/>
    </x:row>
    <x:row r="19">
      <x:c r="A19" s="59" t="str">
        <x:v>필수 옵션 누락</x:v>
      </x:c>
      <x:c r="B19" s="59" t="n">
        <x:v>0</x:v>
      </x:c>
      <x:c r="C19" s="60" t="n">
        <x:f>COUNTIF('06_옵션발주계산'!$R$6:$R$205,"누락")</x:f>
        <x:v>0</x:v>
      </x:c>
      <x:c r="D19" s="60"/>
      <x:c r="E19" s="60"/>
      <x:c r="F19" s="59" t="str"/>
      <x:c r="G19" s="54"/>
      <x:c r="H19" s="54"/>
      <x:c r="I19" s="54"/>
      <x:c r="J19" s="54"/>
    </x:row>
  </x:sheetData>
  <x:mergeCells>
    <x:mergeCell ref="A1:J1"/>
    <x:mergeCell ref="A2:J2"/>
  </x:mergeCells>
  <x:dataValidations count="1">
    <x:dataValidation type="list" sqref="B5">
      <x:formula1>"작성 중,검토 중,승인 요청,승인 완료"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14" hidden="0" customWidth="1"/>
    <x:col min="4" max="4" width="24" hidden="0" customWidth="1"/>
    <x:col min="5" max="5" width="14" hidden="0" customWidth="1"/>
    <x:col min="6" max="6" width="16" hidden="0" customWidth="1"/>
    <x:col min="7" max="7" width="14" hidden="0" customWidth="1"/>
    <x:col min="8" max="8" width="16" hidden="0" customWidth="1"/>
    <x:col min="9" max="9" width="12" hidden="0" customWidth="1"/>
    <x:col min="10" max="10" width="32" hidden="0" customWidth="1"/>
  </x:cols>
  <x:sheetData>
    <x:row r="1" ht="28" customHeight="1">
      <x:c r="A1" s="52" t="str">
        <x:v>PoC 데이터 요구사항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워크숍에서 식별된 데이터의 보유 여부·위치·담당자·기한을 관리합니다.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데이터명</x:v>
      </x:c>
      <x:c r="B4" s="55" t="str">
        <x:v>왜 필요한가</x:v>
      </x:c>
      <x:c r="C4" s="55" t="str">
        <x:v>보유 여부</x:v>
      </x:c>
      <x:c r="D4" s="55" t="str">
        <x:v>위치/시스템</x:v>
      </x:c>
      <x:c r="E4" s="55" t="str">
        <x:v>형태</x:v>
      </x:c>
      <x:c r="F4" s="55" t="str">
        <x:v>확보 담당자</x:v>
      </x:c>
      <x:c r="G4" s="55" t="str">
        <x:v>기한</x:v>
      </x:c>
      <x:c r="H4" s="55" t="str">
        <x:v>마스킹</x:v>
      </x:c>
      <x:c r="I4" s="55" t="str">
        <x:v>우선순위</x:v>
      </x:c>
      <x:c r="J4" s="55" t="str">
        <x:v>비고</x:v>
      </x:c>
    </x:row>
    <x:row r="5">
      <x:c r="A5" s="58" t="str">
        <x:v>기종 마스터</x:v>
      </x:c>
      <x:c r="B5" s="58" t="str">
        <x:v>기종 코드·제품군·MOQ·발주단위·단가</x:v>
      </x:c>
      <x:c r="C5" s="58" t="str"/>
      <x:c r="D5" s="58" t="str"/>
      <x:c r="E5" s="58" t="str"/>
      <x:c r="F5" s="58" t="str"/>
      <x:c r="G5" s="58" t="str"/>
      <x:c r="H5" s="58" t="str">
        <x:v>단가</x:v>
      </x:c>
      <x:c r="I5" s="58" t="str">
        <x:v>높음</x:v>
      </x:c>
      <x:c r="J5" s="58" t="str"/>
    </x:row>
    <x:row r="6">
      <x:c r="A6" s="58" t="str">
        <x:v>옵션 마스터</x:v>
      </x:c>
      <x:c r="B6" s="58" t="str">
        <x:v>옵션 코드·MOQ·발주단위·Common 여부·단가</x:v>
      </x:c>
      <x:c r="C6" s="58" t="str"/>
      <x:c r="D6" s="58" t="str"/>
      <x:c r="E6" s="58" t="str"/>
      <x:c r="F6" s="58" t="str"/>
      <x:c r="G6" s="58" t="str"/>
      <x:c r="H6" s="58" t="str">
        <x:v>단가</x:v>
      </x:c>
      <x:c r="I6" s="58" t="str">
        <x:v>높음</x:v>
      </x:c>
      <x:c r="J6" s="58" t="str"/>
    </x:row>
    <x:row r="7">
      <x:c r="A7" s="58" t="str">
        <x:v>BOM (기종-옵션)</x:v>
      </x:c>
      <x:c r="B7" s="58" t="str">
        <x:v>옵션 소요량 전개·필수 여부</x:v>
      </x:c>
      <x:c r="C7" s="58" t="str"/>
      <x:c r="D7" s="58" t="str"/>
      <x:c r="E7" s="58" t="str"/>
      <x:c r="F7" s="58" t="str"/>
      <x:c r="G7" s="58" t="str"/>
      <x:c r="H7" s="58" t="str"/>
      <x:c r="I7" s="58" t="str">
        <x:v>높음</x:v>
      </x:c>
      <x:c r="J7" s="58" t="str"/>
    </x:row>
    <x:row r="8">
      <x:c r="A8" s="58" t="str">
        <x:v>전월말 기기 재고</x:v>
      </x:c>
      <x:c r="B8" s="58" t="str">
        <x:v>기기 소요량 산출</x:v>
      </x:c>
      <x:c r="C8" s="58" t="str"/>
      <x:c r="D8" s="58" t="str"/>
      <x:c r="E8" s="58" t="str"/>
      <x:c r="F8" s="58" t="str"/>
      <x:c r="G8" s="58" t="str"/>
      <x:c r="H8" s="58" t="str"/>
      <x:c r="I8" s="58" t="str">
        <x:v>높음</x:v>
      </x:c>
      <x:c r="J8" s="58" t="str"/>
    </x:row>
    <x:row r="9">
      <x:c r="A9" s="58" t="str">
        <x:v>전월말 옵션 재고</x:v>
      </x:c>
      <x:c r="B9" s="58" t="str">
        <x:v>옵션 소요량 산출</x:v>
      </x:c>
      <x:c r="C9" s="58" t="str"/>
      <x:c r="D9" s="58" t="str"/>
      <x:c r="E9" s="58" t="str"/>
      <x:c r="F9" s="58" t="str"/>
      <x:c r="G9" s="58" t="str"/>
      <x:c r="H9" s="58" t="str"/>
      <x:c r="I9" s="58" t="str">
        <x:v>높음</x:v>
      </x:c>
      <x:c r="J9" s="58" t="str"/>
    </x:row>
    <x:row r="10">
      <x:c r="A10" s="58" t="str">
        <x:v>기기 판매 실적 24개월</x:v>
      </x:c>
      <x:c r="B10" s="58" t="str">
        <x:v>Trend·장착율 분모</x:v>
      </x:c>
      <x:c r="C10" s="58" t="str"/>
      <x:c r="D10" s="58" t="str"/>
      <x:c r="E10" s="58" t="str"/>
      <x:c r="F10" s="58" t="str"/>
      <x:c r="G10" s="58" t="str"/>
      <x:c r="H10" s="58" t="str">
        <x:v>고객사명</x:v>
      </x:c>
      <x:c r="I10" s="58" t="str">
        <x:v>중간</x:v>
      </x:c>
      <x:c r="J10" s="58" t="str"/>
    </x:row>
    <x:row r="11">
      <x:c r="A11" s="58" t="str">
        <x:v>옵션 판매 실적 24개월</x:v>
      </x:c>
      <x:c r="B11" s="58" t="str">
        <x:v>장착율 분자</x:v>
      </x:c>
      <x:c r="C11" s="58" t="str"/>
      <x:c r="D11" s="58" t="str"/>
      <x:c r="E11" s="58" t="str"/>
      <x:c r="F11" s="58" t="str"/>
      <x:c r="G11" s="58" t="str"/>
      <x:c r="H11" s="58" t="str">
        <x:v>고객사명</x:v>
      </x:c>
      <x:c r="I11" s="58" t="str">
        <x:v>중간</x:v>
      </x:c>
      <x:c r="J11" s="58" t="str"/>
    </x:row>
    <x:row r="12">
      <x:c r="A12" s="58" t="str">
        <x:v>발주~입고 이력</x:v>
      </x:c>
      <x:c r="B12" s="58" t="str">
        <x:v>Lead time 실측</x:v>
      </x:c>
      <x:c r="C12" s="58" t="str"/>
      <x:c r="D12" s="58" t="str"/>
      <x:c r="E12" s="58" t="str"/>
      <x:c r="F12" s="58" t="str"/>
      <x:c r="G12" s="58" t="str"/>
      <x:c r="H12" s="58" t="str">
        <x:v>거래처명</x:v>
      </x:c>
      <x:c r="I12" s="58" t="str">
        <x:v>최우선</x:v>
      </x:c>
      <x:c r="J12" s="58" t="str">
        <x:v>발주일·입고일 연결 필수</x:v>
      </x:c>
    </x:row>
    <x:row r="13">
      <x:c r="A13" s="58" t="str">
        <x:v>미입고 발주 현황</x:v>
      </x:c>
      <x:c r="B13" s="58" t="str">
        <x:v>가용재고 계산</x:v>
      </x:c>
      <x:c r="C13" s="58" t="str"/>
      <x:c r="D13" s="58" t="str"/>
      <x:c r="E13" s="58" t="str"/>
      <x:c r="F13" s="58" t="str"/>
      <x:c r="G13" s="58" t="str"/>
      <x:c r="H13" s="58" t="str"/>
      <x:c r="I13" s="58" t="str">
        <x:v>높음</x:v>
      </x:c>
      <x:c r="J13" s="58" t="str"/>
    </x:row>
    <x:row r="14">
      <x:c r="A14" s="58" t="str">
        <x:v>OL 제출 이력 12개월</x:v>
      </x:c>
      <x:c r="B14" s="58" t="str">
        <x:v>Flex 검증·OL 대비 비교</x:v>
      </x:c>
      <x:c r="C14" s="58" t="str"/>
      <x:c r="D14" s="58" t="str"/>
      <x:c r="E14" s="58" t="str"/>
      <x:c r="F14" s="58" t="str"/>
      <x:c r="G14" s="58" t="str"/>
      <x:c r="H14" s="58" t="str"/>
      <x:c r="I14" s="58" t="str">
        <x:v>높음</x:v>
      </x:c>
      <x:c r="J14" s="58" t="str"/>
    </x:row>
    <x:row r="15">
      <x:c r="A15" s="58" t="str">
        <x:v>SFDC 파이프라인</x:v>
      </x:c>
      <x:c r="B15" s="58" t="str">
        <x:v>수요 반영</x:v>
      </x:c>
      <x:c r="C15" s="58" t="str"/>
      <x:c r="D15" s="58" t="str"/>
      <x:c r="E15" s="58" t="str"/>
      <x:c r="F15" s="58" t="str"/>
      <x:c r="G15" s="58" t="str"/>
      <x:c r="H15" s="58" t="str">
        <x:v>고객사명</x:v>
      </x:c>
      <x:c r="I15" s="58" t="str">
        <x:v>중간</x:v>
      </x:c>
      <x:c r="J15" s="58" t="str"/>
    </x:row>
    <x:row r="16">
      <x:c r="A16" s="58" t="str">
        <x:v>Flexibility rule 문서</x:v>
      </x:c>
      <x:c r="B16" s="58" t="str">
        <x:v>허용 범위 판정</x:v>
      </x:c>
      <x:c r="C16" s="58" t="str"/>
      <x:c r="D16" s="58" t="str"/>
      <x:c r="E16" s="58" t="str"/>
      <x:c r="F16" s="58" t="str"/>
      <x:c r="G16" s="58" t="str"/>
      <x:c r="H16" s="58" t="str"/>
      <x:c r="I16" s="58" t="str">
        <x:v>높음</x:v>
      </x:c>
      <x:c r="J16" s="58" t="str"/>
    </x:row>
    <x:row r="17">
      <x:c r="A17" s="58" t="str">
        <x:v>전월 발주 실적·금액</x:v>
      </x:c>
      <x:c r="B17" s="58" t="str">
        <x:v>전월 대비 비교</x:v>
      </x:c>
      <x:c r="C17" s="58" t="str"/>
      <x:c r="D17" s="58" t="str"/>
      <x:c r="E17" s="58" t="str"/>
      <x:c r="F17" s="58" t="str"/>
      <x:c r="G17" s="58" t="str"/>
      <x:c r="H17" s="58" t="str">
        <x:v>단가</x:v>
      </x:c>
      <x:c r="I17" s="58" t="str">
        <x:v>높음</x:v>
      </x:c>
      <x:c r="J17" s="58" t="str"/>
    </x:row>
    <x:row r="18">
      <x:c r="A18" s="58" t="str">
        <x:v>사장 보고 샘플</x:v>
      </x:c>
      <x:c r="B18" s="58" t="str">
        <x:v>출력 형식 참고</x:v>
      </x:c>
      <x:c r="C18" s="58" t="str"/>
      <x:c r="D18" s="58" t="str"/>
      <x:c r="E18" s="58" t="str"/>
      <x:c r="F18" s="58" t="str"/>
      <x:c r="G18" s="58" t="str"/>
      <x:c r="H18" s="58" t="str">
        <x:v>금액</x:v>
      </x:c>
      <x:c r="I18" s="58" t="str">
        <x:v>중간</x:v>
      </x:c>
      <x:c r="J18" s="58" t="str"/>
    </x:row>
    <x:row r="19">
      <x:c r="A19" s="58" t="str">
        <x:v>지난달 발주 산출 엑셀</x:v>
      </x:c>
      <x:c r="B19" s="58" t="str">
        <x:v>현행 계산 로직 파악</x:v>
      </x:c>
      <x:c r="C19" s="58" t="str"/>
      <x:c r="D19" s="58" t="str"/>
      <x:c r="E19" s="58" t="str"/>
      <x:c r="F19" s="58" t="str"/>
      <x:c r="G19" s="58" t="str"/>
      <x:c r="H19" s="58" t="str">
        <x:v>단가</x:v>
      </x:c>
      <x:c r="I19" s="58" t="str">
        <x:v>높음</x:v>
      </x:c>
      <x:c r="J19" s="58" t="str"/>
    </x:row>
    <x:row r="20">
      <x:c r="A20" s="58" t="str">
        <x:v>승인·반려 이력</x:v>
      </x:c>
      <x:c r="B20" s="58" t="str">
        <x:v>재시작 단계·변경 사유 관리</x:v>
      </x:c>
      <x:c r="C20" s="58" t="str"/>
      <x:c r="D20" s="58" t="str"/>
      <x:c r="E20" s="58" t="str"/>
      <x:c r="F20" s="58" t="str"/>
      <x:c r="G20" s="58" t="str"/>
      <x:c r="H20" s="58" t="str"/>
      <x:c r="I20" s="58" t="str">
        <x:v>중간</x:v>
      </x:c>
      <x:c r="J20" s="58" t="str"/>
    </x:row>
  </x:sheetData>
  <x:mergeCells>
    <x:mergeCell ref="A1:J1"/>
    <x:mergeCell ref="A2:J2"/>
  </x:mergeCells>
  <x:dataValidations count="2">
    <x:dataValidation type="list" sqref="C5:C20">
      <x:formula1>"미확인,보유,일부 보유,미보유"</x:formula1>
    </x:dataValidation>
    <x:dataValidation type="list" sqref="I5:I20">
      <x:formula1>"최우선,높음,중간,낮음"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ea25605da24ee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8" hidden="0" customWidth="1"/>
    <x:col min="3" max="3" width="40" hidden="0" customWidth="1"/>
    <x:col min="4" max="4" width="16" hidden="0" customWidth="1"/>
    <x:col min="5" max="5" width="14" hidden="0" customWidth="1"/>
    <x:col min="6" max="6" width="28" hidden="0" customWidth="1"/>
  </x:cols>
  <x:sheetData>
    <x:row r="1" ht="28" customHeight="1">
      <x:c r="A1" s="52" t="str">
        <x:v>용어 및 정책 확인</x:v>
      </x:c>
      <x:c r="B1" s="52"/>
      <x:c r="C1" s="52"/>
      <x:c r="D1" s="52"/>
      <x:c r="E1" s="52"/>
      <x:c r="F1" s="52"/>
      <x:c r="G1" s="52"/>
      <x:c r="H1" s="52"/>
      <x:c r="I1" s="52"/>
      <x:c r="J1" s="52"/>
    </x:row>
    <x:row r="2">
      <x:c r="A2" s="53" t="str">
        <x:v>워크숍 추정 정의는 실제 운영 규정 확인 후 확정 정의에 반영합니다.</x:v>
      </x:c>
      <x:c r="B2" s="53"/>
      <x:c r="C2" s="53"/>
      <x:c r="D2" s="53"/>
      <x:c r="E2" s="53"/>
      <x:c r="F2" s="53"/>
      <x:c r="G2" s="53"/>
      <x:c r="H2" s="53"/>
      <x:c r="I2" s="53"/>
      <x:c r="J2" s="53"/>
    </x:row>
    <x:row r="3">
      <x:c r="A3" s="54"/>
      <x:c r="B3" s="54"/>
      <x:c r="C3" s="54"/>
      <x:c r="D3" s="54"/>
      <x:c r="E3" s="54"/>
      <x:c r="F3" s="54"/>
      <x:c r="G3" s="54"/>
      <x:c r="H3" s="54"/>
      <x:c r="I3" s="54"/>
      <x:c r="J3" s="54"/>
    </x:row>
    <x:row r="4">
      <x:c r="A4" s="55" t="str">
        <x:v>용어</x:v>
      </x:c>
      <x:c r="B4" s="55" t="str">
        <x:v>현재 이해</x:v>
      </x:c>
      <x:c r="C4" s="55" t="str">
        <x:v>확정 정의</x:v>
      </x:c>
      <x:c r="D4" s="55" t="str">
        <x:v>확인 담당자</x:v>
      </x:c>
      <x:c r="E4" s="55" t="str">
        <x:v>확인 상태</x:v>
      </x:c>
      <x:c r="F4" s="55" t="str">
        <x:v>비고</x:v>
      </x:c>
      <x:c r="G4" s="54"/>
      <x:c r="H4" s="54"/>
      <x:c r="I4" s="54"/>
      <x:c r="J4" s="54"/>
    </x:row>
    <x:row r="5">
      <x:c r="A5" s="58" t="str">
        <x:v>OL</x:v>
      </x:c>
      <x:c r="B5" s="58" t="str">
        <x:v>영업에서 취합하여 공유하는 판매계획 수량</x:v>
      </x:c>
      <x:c r="C5" s="58" t="str"/>
      <x:c r="D5" s="58" t="str"/>
      <x:c r="E5" s="58" t="str">
        <x:v>미확인</x:v>
      </x:c>
      <x:c r="F5" s="58" t="str">
        <x:v>제품·부품 포함 여부</x:v>
      </x:c>
      <x:c r="G5" s="54"/>
      <x:c r="H5" s="54"/>
      <x:c r="I5" s="54"/>
      <x:c r="J5" s="54"/>
    </x:row>
    <x:row r="6">
      <x:c r="A6" s="58" t="str">
        <x:v>필요월도</x:v>
      </x:c>
      <x:c r="B6" s="58" t="str">
        <x:v>재고가 실제로 필요한 고객 출고 예측월도</x:v>
      </x:c>
      <x:c r="C6" s="58" t="str"/>
      <x:c r="D6" s="58" t="str"/>
      <x:c r="E6" s="58" t="str">
        <x:v>미확인</x:v>
      </x:c>
      <x:c r="F6" s="58" t="str">
        <x:v>발주월과 분리</x:v>
      </x:c>
      <x:c r="G6" s="54"/>
      <x:c r="H6" s="54"/>
      <x:c r="I6" s="54"/>
      <x:c r="J6" s="54"/>
    </x:row>
    <x:row r="7">
      <x:c r="A7" s="58" t="str">
        <x:v>Flexibility rule</x:v>
      </x:c>
      <x:c r="B7" s="58" t="str">
        <x:v>Supplier 제출 OL 대비 발주 변경 허용 범위</x:v>
      </x:c>
      <x:c r="C7" s="58" t="str"/>
      <x:c r="D7" s="58" t="str"/>
      <x:c r="E7" s="58" t="str">
        <x:v>미확인</x:v>
      </x:c>
      <x:c r="F7" s="58" t="str">
        <x:v>전월 ±20%, 전전월 ±30%는 추정값</x:v>
      </x:c>
      <x:c r="G7" s="54"/>
      <x:c r="H7" s="54"/>
      <x:c r="I7" s="54"/>
      <x:c r="J7" s="54"/>
    </x:row>
    <x:row r="8">
      <x:c r="A8" s="58" t="str">
        <x:v>PRT</x:v>
      </x:c>
      <x:c r="B8" s="58" t="str">
        <x:v>A3/A4 Printer 계열 제품군</x:v>
      </x:c>
      <x:c r="C8" s="58" t="str"/>
      <x:c r="D8" s="58" t="str"/>
      <x:c r="E8" s="58" t="str">
        <x:v>미확인</x:v>
      </x:c>
      <x:c r="F8" s="58" t="str">
        <x:v>MOQ 별도 적용</x:v>
      </x:c>
      <x:c r="G8" s="54"/>
      <x:c r="H8" s="54"/>
      <x:c r="I8" s="54"/>
      <x:c r="J8" s="54"/>
    </x:row>
    <x:row r="9">
      <x:c r="A9" s="58" t="str">
        <x:v>장착율</x:v>
      </x:c>
      <x:c r="B9" s="58" t="str">
        <x:v>기기 판매 시 옵션 동반 판매 비율</x:v>
      </x:c>
      <x:c r="C9" s="58" t="str"/>
      <x:c r="D9" s="58" t="str"/>
      <x:c r="E9" s="58" t="str">
        <x:v>미확인</x:v>
      </x:c>
      <x:c r="F9" s="58" t="str">
        <x:v>산출 기간 필요</x:v>
      </x:c>
      <x:c r="G9" s="54"/>
      <x:c r="H9" s="54"/>
      <x:c r="I9" s="54"/>
      <x:c r="J9" s="54"/>
    </x:row>
    <x:row r="10">
      <x:c r="A10" s="58" t="str">
        <x:v>Common품</x:v>
      </x:c>
      <x:c r="B10" s="58" t="str">
        <x:v>복수 기종 공통 사용 옵션/부품/소모품</x:v>
      </x:c>
      <x:c r="C10" s="58" t="str"/>
      <x:c r="D10" s="58" t="str"/>
      <x:c r="E10" s="58" t="str">
        <x:v>미확인</x:v>
      </x:c>
      <x:c r="F10" s="58" t="str">
        <x:v>옵션코드 통합</x:v>
      </x:c>
      <x:c r="G10" s="54"/>
      <x:c r="H10" s="54"/>
      <x:c r="I10" s="54"/>
      <x:c r="J10" s="54"/>
    </x:row>
    <x:row r="11">
      <x:c r="A11" s="58" t="str">
        <x:v>옵션 필수품</x:v>
      </x:c>
      <x:c r="B11" s="58" t="str">
        <x:v>특정 기기·옵션 출하 시 반드시 포함되는 옵션</x:v>
      </x:c>
      <x:c r="C11" s="58" t="str"/>
      <x:c r="D11" s="58" t="str"/>
      <x:c r="E11" s="58" t="str">
        <x:v>미확인</x:v>
      </x:c>
      <x:c r="F11" s="58" t="str">
        <x:v>누락 경고</x:v>
      </x:c>
      <x:c r="G11" s="54"/>
      <x:c r="H11" s="54"/>
      <x:c r="I11" s="54"/>
      <x:c r="J11" s="54"/>
    </x:row>
    <x:row r="12">
      <x:c r="A12" s="58" t="str">
        <x:v>평균 사용량</x:v>
      </x:c>
      <x:c r="B12" s="58" t="str">
        <x:v>3·6·12개월 기간별 평균 사용량</x:v>
      </x:c>
      <x:c r="C12" s="58" t="str"/>
      <x:c r="D12" s="58" t="str"/>
      <x:c r="E12" s="58" t="str">
        <x:v>미확인</x:v>
      </x:c>
      <x:c r="F12" s="58" t="str">
        <x:v>특수 실적 제외 여부</x:v>
      </x:c>
      <x:c r="G12" s="54"/>
      <x:c r="H12" s="54"/>
      <x:c r="I12" s="54"/>
      <x:c r="J12" s="54"/>
    </x:row>
    <x:row r="13">
      <x:c r="A13" s="58" t="str">
        <x:v>MOQ</x:v>
      </x:c>
      <x:c r="B13" s="58" t="str">
        <x:v>최소 발주 수량 단위</x:v>
      </x:c>
      <x:c r="C13" s="58" t="str"/>
      <x:c r="D13" s="58" t="str"/>
      <x:c r="E13" s="58" t="str">
        <x:v>미확인</x:v>
      </x:c>
      <x:c r="F13" s="58" t="str">
        <x:v>발주단위와 구분</x:v>
      </x:c>
      <x:c r="G13" s="54"/>
      <x:c r="H13" s="54"/>
      <x:c r="I13" s="54"/>
      <x:c r="J13" s="54"/>
    </x:row>
    <x:row r="14">
      <x:c r="A14" s="58" t="str">
        <x:v>BOM</x:v>
      </x:c>
      <x:c r="B14" s="58" t="str">
        <x:v>기종별 구성 자재 명세</x:v>
      </x:c>
      <x:c r="C14" s="58" t="str"/>
      <x:c r="D14" s="58" t="str"/>
      <x:c r="E14" s="58" t="str">
        <x:v>미확인</x:v>
      </x:c>
      <x:c r="F14" s="58" t="str">
        <x:v>유효기간 필요</x:v>
      </x:c>
      <x:c r="G14" s="54"/>
      <x:c r="H14" s="54"/>
      <x:c r="I14" s="54"/>
      <x:c r="J14" s="54"/>
    </x:row>
    <x:row r="15">
      <x:c r="A15" s="58" t="str">
        <x:v>SFDC</x:v>
      </x:c>
      <x:c r="B15" s="58" t="str">
        <x:v>Salesforce 영업 파이프라인</x:v>
      </x:c>
      <x:c r="C15" s="58" t="str"/>
      <x:c r="D15" s="58" t="str"/>
      <x:c r="E15" s="58" t="str">
        <x:v>미확인</x:v>
      </x:c>
      <x:c r="F15" s="58" t="str">
        <x:v>확도 반영 정책</x:v>
      </x:c>
      <x:c r="G15" s="54"/>
      <x:c r="H15" s="54"/>
      <x:c r="I15" s="54"/>
      <x:c r="J15" s="54"/>
    </x:row>
    <x:row r="16">
      <x:c r="A16" s="58" t="str">
        <x:v>수급회의</x:v>
      </x:c>
      <x:c r="B16" s="58" t="str">
        <x:v>월 단위 수요 최종 검증 회의</x:v>
      </x:c>
      <x:c r="C16" s="58" t="str"/>
      <x:c r="D16" s="58" t="str"/>
      <x:c r="E16" s="58" t="str">
        <x:v>미확인</x:v>
      </x:c>
      <x:c r="F16" s="58" t="str">
        <x:v>결정사항 기록</x:v>
      </x:c>
      <x:c r="G16" s="54"/>
      <x:c r="H16" s="54"/>
      <x:c r="I16" s="54"/>
      <x:c r="J16" s="54"/>
    </x:row>
    <x:row r="17">
      <x:c r="A17" s="58" t="str">
        <x:v>전월말 재고</x:v>
      </x:c>
      <x:c r="B17" s="58" t="str">
        <x:v>전월 말 기준 마감 재고</x:v>
      </x:c>
      <x:c r="C17" s="58" t="str"/>
      <x:c r="D17" s="58" t="str"/>
      <x:c r="E17" s="58" t="str">
        <x:v>미확인</x:v>
      </x:c>
      <x:c r="F17" s="58" t="str">
        <x:v>재고 상태별 구분</x:v>
      </x:c>
      <x:c r="G17" s="54"/>
      <x:c r="H17" s="54"/>
      <x:c r="I17" s="54"/>
      <x:c r="J17" s="54"/>
    </x:row>
    <x:row r="18">
      <x:c r="A18" s="58" t="str">
        <x:v>Open PO</x:v>
      </x:c>
      <x:c r="B18" s="58" t="str">
        <x:v>발주했으나 미입고인 발주 잔량</x:v>
      </x:c>
      <x:c r="C18" s="58" t="str"/>
      <x:c r="D18" s="58" t="str"/>
      <x:c r="E18" s="58" t="str">
        <x:v>미확인</x:v>
      </x:c>
      <x:c r="F18" s="58" t="str">
        <x:v>필요월도 전 입고 가능량</x:v>
      </x:c>
      <x:c r="G18" s="54"/>
      <x:c r="H18" s="54"/>
      <x:c r="I18" s="54"/>
      <x:c r="J18" s="54"/>
    </x:row>
    <x:row r="19">
      <x:c r="A19" s="58" t="str">
        <x:v>FX-LIVE</x:v>
      </x:c>
      <x:c r="B19" s="58" t="str">
        <x:v>산출 발주량을 최종 확정하여 Supplier에 제출하는 System</x:v>
      </x:c>
      <x:c r="C19" s="58" t="str"/>
      <x:c r="D19" s="58" t="str"/>
      <x:c r="E19" s="58" t="str">
        <x:v>미확인</x:v>
      </x:c>
      <x:c r="F19" s="58" t="str">
        <x:v>실제 시스템명 확인</x:v>
      </x:c>
      <x:c r="G19" s="54"/>
      <x:c r="H19" s="54"/>
      <x:c r="I19" s="54"/>
      <x:c r="J19" s="54"/>
    </x:row>
    <x:row r="20">
      <x:c r="A20" s="58" t="str">
        <x:v>PO Match</x:v>
      </x:c>
      <x:c r="B20" s="58" t="str">
        <x:v>PO·입고·Invoice 매칭을 통한 지불 처리</x:v>
      </x:c>
      <x:c r="C20" s="58" t="str"/>
      <x:c r="D20" s="58" t="str"/>
      <x:c r="E20" s="58" t="str">
        <x:v>미확인</x:v>
      </x:c>
      <x:c r="F20" s="58" t="str">
        <x:v>차이 처리 기준</x:v>
      </x:c>
      <x:c r="G20" s="54"/>
      <x:c r="H20" s="54"/>
      <x:c r="I20" s="54"/>
      <x:c r="J20" s="54"/>
    </x:row>
  </x:sheetData>
  <x:mergeCells>
    <x:mergeCell ref="A1:J1"/>
    <x:mergeCell ref="A2:J2"/>
  </x:mergeCells>
  <x:dataValidations count="1">
    <x:dataValidation type="list" sqref="E5:E20">
      <x:formula1>"미확인,확인 중,확정"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4afb03fa4e49b4"/>
  </x:tableParts>
</x:worksheet>
</file>